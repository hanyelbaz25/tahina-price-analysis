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5A2FCA3D-578A-4C51-BBC9-5E14B681E982}" xr6:coauthVersionLast="47" xr6:coauthVersionMax="47" xr10:uidLastSave="{00000000-0000-0000-0000-000000000000}"/>
  <bookViews>
    <workbookView xWindow="-108" yWindow="-108" windowWidth="23256" windowHeight="12456" xr2:uid="{36171045-BF16-4918-9AA2-9B249EB74C5C}"/>
  </bookViews>
  <sheets>
    <sheet name="مقارنة الاسعار" sheetId="1" r:id="rId1"/>
  </sheets>
  <externalReferences>
    <externalReference r:id="rId2"/>
  </externalReferences>
  <definedNames>
    <definedName name="_xlnm._FilterDatabase" localSheetId="0" hidden="1">'مقارنة الاسعار'!$B$6:$T$819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819" i="1" l="1"/>
  <c r="W819" i="1"/>
  <c r="M819" i="1"/>
  <c r="G819" i="1"/>
  <c r="F819" i="1"/>
  <c r="E819" i="1"/>
  <c r="D819" i="1"/>
  <c r="C819" i="1"/>
  <c r="B819" i="1"/>
  <c r="I819" i="1" s="1"/>
  <c r="V819" i="1" s="1"/>
  <c r="X818" i="1"/>
  <c r="W818" i="1"/>
  <c r="G818" i="1"/>
  <c r="F818" i="1"/>
  <c r="E818" i="1"/>
  <c r="D818" i="1"/>
  <c r="C818" i="1"/>
  <c r="B818" i="1"/>
  <c r="M818" i="1" s="1"/>
  <c r="X817" i="1"/>
  <c r="W817" i="1"/>
  <c r="G817" i="1"/>
  <c r="F817" i="1"/>
  <c r="E817" i="1"/>
  <c r="D817" i="1"/>
  <c r="C817" i="1"/>
  <c r="B817" i="1"/>
  <c r="X816" i="1"/>
  <c r="W816" i="1"/>
  <c r="I816" i="1"/>
  <c r="V816" i="1" s="1"/>
  <c r="G816" i="1"/>
  <c r="F816" i="1"/>
  <c r="E816" i="1"/>
  <c r="D816" i="1"/>
  <c r="C816" i="1"/>
  <c r="B816" i="1"/>
  <c r="M816" i="1" s="1"/>
  <c r="X815" i="1"/>
  <c r="W815" i="1"/>
  <c r="V815" i="1"/>
  <c r="M815" i="1"/>
  <c r="G815" i="1"/>
  <c r="F815" i="1"/>
  <c r="E815" i="1"/>
  <c r="D815" i="1"/>
  <c r="C815" i="1"/>
  <c r="B815" i="1"/>
  <c r="I815" i="1" s="1"/>
  <c r="X814" i="1"/>
  <c r="W814" i="1"/>
  <c r="V814" i="1"/>
  <c r="M814" i="1"/>
  <c r="I814" i="1"/>
  <c r="G814" i="1"/>
  <c r="F814" i="1"/>
  <c r="E814" i="1"/>
  <c r="D814" i="1"/>
  <c r="C814" i="1"/>
  <c r="B814" i="1"/>
  <c r="X813" i="1"/>
  <c r="W813" i="1"/>
  <c r="M813" i="1"/>
  <c r="I813" i="1"/>
  <c r="V813" i="1" s="1"/>
  <c r="G813" i="1"/>
  <c r="F813" i="1"/>
  <c r="E813" i="1"/>
  <c r="D813" i="1"/>
  <c r="C813" i="1"/>
  <c r="B813" i="1"/>
  <c r="X812" i="1"/>
  <c r="W812" i="1"/>
  <c r="I812" i="1"/>
  <c r="V812" i="1" s="1"/>
  <c r="G812" i="1"/>
  <c r="F812" i="1"/>
  <c r="E812" i="1"/>
  <c r="D812" i="1"/>
  <c r="C812" i="1"/>
  <c r="B812" i="1"/>
  <c r="M812" i="1" s="1"/>
  <c r="X811" i="1"/>
  <c r="W811" i="1"/>
  <c r="M811" i="1"/>
  <c r="G811" i="1"/>
  <c r="F811" i="1"/>
  <c r="E811" i="1"/>
  <c r="D811" i="1"/>
  <c r="C811" i="1"/>
  <c r="B811" i="1"/>
  <c r="I811" i="1" s="1"/>
  <c r="V811" i="1" s="1"/>
  <c r="X810" i="1"/>
  <c r="W810" i="1"/>
  <c r="I810" i="1"/>
  <c r="V810" i="1" s="1"/>
  <c r="G810" i="1"/>
  <c r="F810" i="1"/>
  <c r="E810" i="1"/>
  <c r="D810" i="1"/>
  <c r="C810" i="1"/>
  <c r="B810" i="1"/>
  <c r="M810" i="1" s="1"/>
  <c r="X809" i="1"/>
  <c r="W809" i="1"/>
  <c r="M809" i="1"/>
  <c r="I809" i="1"/>
  <c r="V809" i="1" s="1"/>
  <c r="G809" i="1"/>
  <c r="F809" i="1"/>
  <c r="E809" i="1"/>
  <c r="D809" i="1"/>
  <c r="C809" i="1"/>
  <c r="B809" i="1"/>
  <c r="X808" i="1"/>
  <c r="W808" i="1"/>
  <c r="G808" i="1"/>
  <c r="F808" i="1"/>
  <c r="E808" i="1"/>
  <c r="D808" i="1"/>
  <c r="C808" i="1"/>
  <c r="B808" i="1"/>
  <c r="X807" i="1"/>
  <c r="W807" i="1"/>
  <c r="G807" i="1"/>
  <c r="F807" i="1"/>
  <c r="E807" i="1"/>
  <c r="D807" i="1"/>
  <c r="C807" i="1"/>
  <c r="B807" i="1"/>
  <c r="I807" i="1" s="1"/>
  <c r="V807" i="1" s="1"/>
  <c r="X806" i="1"/>
  <c r="W806" i="1"/>
  <c r="V806" i="1"/>
  <c r="M806" i="1"/>
  <c r="I806" i="1"/>
  <c r="G806" i="1"/>
  <c r="F806" i="1"/>
  <c r="E806" i="1"/>
  <c r="D806" i="1"/>
  <c r="C806" i="1"/>
  <c r="B806" i="1"/>
  <c r="X805" i="1"/>
  <c r="W805" i="1"/>
  <c r="M805" i="1"/>
  <c r="I805" i="1"/>
  <c r="V805" i="1" s="1"/>
  <c r="G805" i="1"/>
  <c r="F805" i="1"/>
  <c r="E805" i="1"/>
  <c r="D805" i="1"/>
  <c r="C805" i="1"/>
  <c r="B805" i="1"/>
  <c r="X804" i="1"/>
  <c r="W804" i="1"/>
  <c r="G804" i="1"/>
  <c r="F804" i="1"/>
  <c r="E804" i="1"/>
  <c r="D804" i="1"/>
  <c r="C804" i="1"/>
  <c r="B804" i="1"/>
  <c r="M804" i="1" s="1"/>
  <c r="X803" i="1"/>
  <c r="W803" i="1"/>
  <c r="G803" i="1"/>
  <c r="F803" i="1"/>
  <c r="E803" i="1"/>
  <c r="D803" i="1"/>
  <c r="C803" i="1"/>
  <c r="B803" i="1"/>
  <c r="I803" i="1" s="1"/>
  <c r="V803" i="1" s="1"/>
  <c r="X802" i="1"/>
  <c r="W802" i="1"/>
  <c r="G802" i="1"/>
  <c r="F802" i="1"/>
  <c r="E802" i="1"/>
  <c r="D802" i="1"/>
  <c r="C802" i="1"/>
  <c r="B802" i="1"/>
  <c r="X801" i="1"/>
  <c r="W801" i="1"/>
  <c r="V801" i="1"/>
  <c r="M801" i="1"/>
  <c r="I801" i="1"/>
  <c r="G801" i="1"/>
  <c r="F801" i="1"/>
  <c r="E801" i="1"/>
  <c r="D801" i="1"/>
  <c r="C801" i="1"/>
  <c r="B801" i="1"/>
  <c r="X800" i="1"/>
  <c r="W800" i="1"/>
  <c r="G800" i="1"/>
  <c r="F800" i="1"/>
  <c r="E800" i="1"/>
  <c r="D800" i="1"/>
  <c r="C800" i="1"/>
  <c r="B800" i="1"/>
  <c r="X799" i="1"/>
  <c r="W799" i="1"/>
  <c r="M799" i="1"/>
  <c r="I799" i="1"/>
  <c r="V799" i="1" s="1"/>
  <c r="G799" i="1"/>
  <c r="F799" i="1"/>
  <c r="E799" i="1"/>
  <c r="D799" i="1"/>
  <c r="C799" i="1"/>
  <c r="B799" i="1"/>
  <c r="X798" i="1"/>
  <c r="W798" i="1"/>
  <c r="G798" i="1"/>
  <c r="F798" i="1"/>
  <c r="E798" i="1"/>
  <c r="D798" i="1"/>
  <c r="C798" i="1"/>
  <c r="B798" i="1"/>
  <c r="M798" i="1" s="1"/>
  <c r="X797" i="1"/>
  <c r="W797" i="1"/>
  <c r="M797" i="1"/>
  <c r="I797" i="1"/>
  <c r="V797" i="1" s="1"/>
  <c r="G797" i="1"/>
  <c r="F797" i="1"/>
  <c r="E797" i="1"/>
  <c r="D797" i="1"/>
  <c r="C797" i="1"/>
  <c r="B797" i="1"/>
  <c r="X796" i="1"/>
  <c r="W796" i="1"/>
  <c r="I796" i="1"/>
  <c r="V796" i="1" s="1"/>
  <c r="G796" i="1"/>
  <c r="F796" i="1"/>
  <c r="E796" i="1"/>
  <c r="D796" i="1"/>
  <c r="C796" i="1"/>
  <c r="B796" i="1"/>
  <c r="M796" i="1" s="1"/>
  <c r="X795" i="1"/>
  <c r="W795" i="1"/>
  <c r="M795" i="1"/>
  <c r="G795" i="1"/>
  <c r="F795" i="1"/>
  <c r="E795" i="1"/>
  <c r="D795" i="1"/>
  <c r="C795" i="1"/>
  <c r="B795" i="1"/>
  <c r="I795" i="1" s="1"/>
  <c r="V795" i="1" s="1"/>
  <c r="X794" i="1"/>
  <c r="W794" i="1"/>
  <c r="G794" i="1"/>
  <c r="F794" i="1"/>
  <c r="E794" i="1"/>
  <c r="D794" i="1"/>
  <c r="C794" i="1"/>
  <c r="B794" i="1"/>
  <c r="M794" i="1" s="1"/>
  <c r="X793" i="1"/>
  <c r="W793" i="1"/>
  <c r="G793" i="1"/>
  <c r="F793" i="1"/>
  <c r="E793" i="1"/>
  <c r="D793" i="1"/>
  <c r="C793" i="1"/>
  <c r="B793" i="1"/>
  <c r="X792" i="1"/>
  <c r="W792" i="1"/>
  <c r="I792" i="1"/>
  <c r="V792" i="1" s="1"/>
  <c r="G792" i="1"/>
  <c r="F792" i="1"/>
  <c r="E792" i="1"/>
  <c r="D792" i="1"/>
  <c r="C792" i="1"/>
  <c r="B792" i="1"/>
  <c r="M792" i="1" s="1"/>
  <c r="X791" i="1"/>
  <c r="W791" i="1"/>
  <c r="V791" i="1"/>
  <c r="M791" i="1"/>
  <c r="G791" i="1"/>
  <c r="F791" i="1"/>
  <c r="E791" i="1"/>
  <c r="D791" i="1"/>
  <c r="C791" i="1"/>
  <c r="B791" i="1"/>
  <c r="I791" i="1" s="1"/>
  <c r="X790" i="1"/>
  <c r="W790" i="1"/>
  <c r="M790" i="1"/>
  <c r="I790" i="1"/>
  <c r="V790" i="1" s="1"/>
  <c r="G790" i="1"/>
  <c r="F790" i="1"/>
  <c r="E790" i="1"/>
  <c r="D790" i="1"/>
  <c r="C790" i="1"/>
  <c r="B790" i="1"/>
  <c r="X789" i="1"/>
  <c r="W789" i="1"/>
  <c r="M789" i="1"/>
  <c r="I789" i="1"/>
  <c r="V789" i="1" s="1"/>
  <c r="G789" i="1"/>
  <c r="F789" i="1"/>
  <c r="E789" i="1"/>
  <c r="D789" i="1"/>
  <c r="C789" i="1"/>
  <c r="B789" i="1"/>
  <c r="X788" i="1"/>
  <c r="W788" i="1"/>
  <c r="I788" i="1"/>
  <c r="V788" i="1" s="1"/>
  <c r="G788" i="1"/>
  <c r="F788" i="1"/>
  <c r="E788" i="1"/>
  <c r="D788" i="1"/>
  <c r="C788" i="1"/>
  <c r="B788" i="1"/>
  <c r="M788" i="1" s="1"/>
  <c r="X787" i="1"/>
  <c r="W787" i="1"/>
  <c r="M787" i="1"/>
  <c r="G787" i="1"/>
  <c r="F787" i="1"/>
  <c r="E787" i="1"/>
  <c r="D787" i="1"/>
  <c r="C787" i="1"/>
  <c r="B787" i="1"/>
  <c r="I787" i="1" s="1"/>
  <c r="V787" i="1" s="1"/>
  <c r="X786" i="1"/>
  <c r="W786" i="1"/>
  <c r="I786" i="1"/>
  <c r="V786" i="1" s="1"/>
  <c r="G786" i="1"/>
  <c r="F786" i="1"/>
  <c r="E786" i="1"/>
  <c r="D786" i="1"/>
  <c r="C786" i="1"/>
  <c r="B786" i="1"/>
  <c r="M786" i="1" s="1"/>
  <c r="X785" i="1"/>
  <c r="W785" i="1"/>
  <c r="M785" i="1"/>
  <c r="I785" i="1"/>
  <c r="V785" i="1" s="1"/>
  <c r="G785" i="1"/>
  <c r="F785" i="1"/>
  <c r="E785" i="1"/>
  <c r="D785" i="1"/>
  <c r="C785" i="1"/>
  <c r="B785" i="1"/>
  <c r="X784" i="1"/>
  <c r="W784" i="1"/>
  <c r="G784" i="1"/>
  <c r="F784" i="1"/>
  <c r="E784" i="1"/>
  <c r="D784" i="1"/>
  <c r="C784" i="1"/>
  <c r="B784" i="1"/>
  <c r="M784" i="1" s="1"/>
  <c r="X783" i="1"/>
  <c r="W783" i="1"/>
  <c r="G783" i="1"/>
  <c r="F783" i="1"/>
  <c r="E783" i="1"/>
  <c r="D783" i="1"/>
  <c r="C783" i="1"/>
  <c r="B783" i="1"/>
  <c r="X782" i="1"/>
  <c r="W782" i="1"/>
  <c r="V782" i="1"/>
  <c r="M782" i="1"/>
  <c r="I782" i="1"/>
  <c r="G782" i="1"/>
  <c r="F782" i="1"/>
  <c r="E782" i="1"/>
  <c r="D782" i="1"/>
  <c r="C782" i="1"/>
  <c r="B782" i="1"/>
  <c r="X781" i="1"/>
  <c r="W781" i="1"/>
  <c r="M781" i="1"/>
  <c r="I781" i="1"/>
  <c r="V781" i="1" s="1"/>
  <c r="G781" i="1"/>
  <c r="F781" i="1"/>
  <c r="E781" i="1"/>
  <c r="D781" i="1"/>
  <c r="C781" i="1"/>
  <c r="B781" i="1"/>
  <c r="X780" i="1"/>
  <c r="W780" i="1"/>
  <c r="G780" i="1"/>
  <c r="F780" i="1"/>
  <c r="E780" i="1"/>
  <c r="D780" i="1"/>
  <c r="C780" i="1"/>
  <c r="B780" i="1"/>
  <c r="M780" i="1" s="1"/>
  <c r="X779" i="1"/>
  <c r="W779" i="1"/>
  <c r="G779" i="1"/>
  <c r="F779" i="1"/>
  <c r="E779" i="1"/>
  <c r="D779" i="1"/>
  <c r="C779" i="1"/>
  <c r="B779" i="1"/>
  <c r="I779" i="1" s="1"/>
  <c r="V779" i="1" s="1"/>
  <c r="X778" i="1"/>
  <c r="W778" i="1"/>
  <c r="G778" i="1"/>
  <c r="F778" i="1"/>
  <c r="E778" i="1"/>
  <c r="D778" i="1"/>
  <c r="C778" i="1"/>
  <c r="B778" i="1"/>
  <c r="X777" i="1"/>
  <c r="W777" i="1"/>
  <c r="V777" i="1"/>
  <c r="M777" i="1"/>
  <c r="I777" i="1"/>
  <c r="G777" i="1"/>
  <c r="F777" i="1"/>
  <c r="E777" i="1"/>
  <c r="D777" i="1"/>
  <c r="C777" i="1"/>
  <c r="B777" i="1"/>
  <c r="X776" i="1"/>
  <c r="W776" i="1"/>
  <c r="G776" i="1"/>
  <c r="F776" i="1"/>
  <c r="E776" i="1"/>
  <c r="D776" i="1"/>
  <c r="C776" i="1"/>
  <c r="B776" i="1"/>
  <c r="M776" i="1" s="1"/>
  <c r="X775" i="1"/>
  <c r="W775" i="1"/>
  <c r="M775" i="1"/>
  <c r="I775" i="1"/>
  <c r="V775" i="1" s="1"/>
  <c r="G775" i="1"/>
  <c r="F775" i="1"/>
  <c r="E775" i="1"/>
  <c r="D775" i="1"/>
  <c r="C775" i="1"/>
  <c r="B775" i="1"/>
  <c r="X774" i="1"/>
  <c r="W774" i="1"/>
  <c r="G774" i="1"/>
  <c r="F774" i="1"/>
  <c r="E774" i="1"/>
  <c r="D774" i="1"/>
  <c r="C774" i="1"/>
  <c r="B774" i="1"/>
  <c r="X773" i="1"/>
  <c r="W773" i="1"/>
  <c r="M773" i="1"/>
  <c r="I773" i="1"/>
  <c r="V773" i="1" s="1"/>
  <c r="G773" i="1"/>
  <c r="F773" i="1"/>
  <c r="E773" i="1"/>
  <c r="D773" i="1"/>
  <c r="C773" i="1"/>
  <c r="B773" i="1"/>
  <c r="X772" i="1"/>
  <c r="W772" i="1"/>
  <c r="G772" i="1"/>
  <c r="F772" i="1"/>
  <c r="E772" i="1"/>
  <c r="D772" i="1"/>
  <c r="C772" i="1"/>
  <c r="B772" i="1"/>
  <c r="M772" i="1" s="1"/>
  <c r="X771" i="1"/>
  <c r="W771" i="1"/>
  <c r="M771" i="1"/>
  <c r="G771" i="1"/>
  <c r="F771" i="1"/>
  <c r="E771" i="1"/>
  <c r="D771" i="1"/>
  <c r="C771" i="1"/>
  <c r="B771" i="1"/>
  <c r="I771" i="1" s="1"/>
  <c r="V771" i="1" s="1"/>
  <c r="X770" i="1"/>
  <c r="W770" i="1"/>
  <c r="G770" i="1"/>
  <c r="F770" i="1"/>
  <c r="E770" i="1"/>
  <c r="D770" i="1"/>
  <c r="C770" i="1"/>
  <c r="B770" i="1"/>
  <c r="M770" i="1" s="1"/>
  <c r="X769" i="1"/>
  <c r="W769" i="1"/>
  <c r="M769" i="1"/>
  <c r="G769" i="1"/>
  <c r="F769" i="1"/>
  <c r="E769" i="1"/>
  <c r="D769" i="1"/>
  <c r="C769" i="1"/>
  <c r="B769" i="1"/>
  <c r="I769" i="1" s="1"/>
  <c r="V769" i="1" s="1"/>
  <c r="X768" i="1"/>
  <c r="W768" i="1"/>
  <c r="I768" i="1"/>
  <c r="V768" i="1" s="1"/>
  <c r="G768" i="1"/>
  <c r="F768" i="1"/>
  <c r="E768" i="1"/>
  <c r="D768" i="1"/>
  <c r="C768" i="1"/>
  <c r="B768" i="1"/>
  <c r="M768" i="1" s="1"/>
  <c r="X767" i="1"/>
  <c r="W767" i="1"/>
  <c r="V767" i="1"/>
  <c r="M767" i="1"/>
  <c r="G767" i="1"/>
  <c r="F767" i="1"/>
  <c r="E767" i="1"/>
  <c r="D767" i="1"/>
  <c r="C767" i="1"/>
  <c r="B767" i="1"/>
  <c r="I767" i="1" s="1"/>
  <c r="X766" i="1"/>
  <c r="W766" i="1"/>
  <c r="V766" i="1"/>
  <c r="M766" i="1"/>
  <c r="I766" i="1"/>
  <c r="G766" i="1"/>
  <c r="F766" i="1"/>
  <c r="E766" i="1"/>
  <c r="D766" i="1"/>
  <c r="C766" i="1"/>
  <c r="B766" i="1"/>
  <c r="X765" i="1"/>
  <c r="W765" i="1"/>
  <c r="M765" i="1"/>
  <c r="I765" i="1"/>
  <c r="V765" i="1" s="1"/>
  <c r="G765" i="1"/>
  <c r="F765" i="1"/>
  <c r="E765" i="1"/>
  <c r="D765" i="1"/>
  <c r="C765" i="1"/>
  <c r="B765" i="1"/>
  <c r="X764" i="1"/>
  <c r="W764" i="1"/>
  <c r="I764" i="1"/>
  <c r="V764" i="1" s="1"/>
  <c r="G764" i="1"/>
  <c r="F764" i="1"/>
  <c r="E764" i="1"/>
  <c r="D764" i="1"/>
  <c r="C764" i="1"/>
  <c r="B764" i="1"/>
  <c r="M764" i="1" s="1"/>
  <c r="X763" i="1"/>
  <c r="W763" i="1"/>
  <c r="M763" i="1"/>
  <c r="G763" i="1"/>
  <c r="F763" i="1"/>
  <c r="E763" i="1"/>
  <c r="D763" i="1"/>
  <c r="C763" i="1"/>
  <c r="B763" i="1"/>
  <c r="I763" i="1" s="1"/>
  <c r="V763" i="1" s="1"/>
  <c r="X762" i="1"/>
  <c r="W762" i="1"/>
  <c r="I762" i="1"/>
  <c r="V762" i="1" s="1"/>
  <c r="G762" i="1"/>
  <c r="F762" i="1"/>
  <c r="E762" i="1"/>
  <c r="D762" i="1"/>
  <c r="C762" i="1"/>
  <c r="B762" i="1"/>
  <c r="M762" i="1" s="1"/>
  <c r="X761" i="1"/>
  <c r="W761" i="1"/>
  <c r="M761" i="1"/>
  <c r="I761" i="1"/>
  <c r="V761" i="1" s="1"/>
  <c r="G761" i="1"/>
  <c r="F761" i="1"/>
  <c r="E761" i="1"/>
  <c r="D761" i="1"/>
  <c r="C761" i="1"/>
  <c r="B761" i="1"/>
  <c r="X760" i="1"/>
  <c r="W760" i="1"/>
  <c r="I760" i="1"/>
  <c r="V760" i="1" s="1"/>
  <c r="G760" i="1"/>
  <c r="F760" i="1"/>
  <c r="E760" i="1"/>
  <c r="D760" i="1"/>
  <c r="C760" i="1"/>
  <c r="B760" i="1"/>
  <c r="M760" i="1" s="1"/>
  <c r="X759" i="1"/>
  <c r="W759" i="1"/>
  <c r="G759" i="1"/>
  <c r="F759" i="1"/>
  <c r="E759" i="1"/>
  <c r="D759" i="1"/>
  <c r="C759" i="1"/>
  <c r="B759" i="1"/>
  <c r="X758" i="1"/>
  <c r="W758" i="1"/>
  <c r="V758" i="1"/>
  <c r="M758" i="1"/>
  <c r="I758" i="1"/>
  <c r="G758" i="1"/>
  <c r="F758" i="1"/>
  <c r="E758" i="1"/>
  <c r="D758" i="1"/>
  <c r="C758" i="1"/>
  <c r="B758" i="1"/>
  <c r="X757" i="1"/>
  <c r="W757" i="1"/>
  <c r="M757" i="1"/>
  <c r="I757" i="1"/>
  <c r="V757" i="1" s="1"/>
  <c r="G757" i="1"/>
  <c r="F757" i="1"/>
  <c r="E757" i="1"/>
  <c r="D757" i="1"/>
  <c r="C757" i="1"/>
  <c r="B757" i="1"/>
  <c r="X756" i="1"/>
  <c r="W756" i="1"/>
  <c r="G756" i="1"/>
  <c r="F756" i="1"/>
  <c r="E756" i="1"/>
  <c r="D756" i="1"/>
  <c r="C756" i="1"/>
  <c r="B756" i="1"/>
  <c r="M756" i="1" s="1"/>
  <c r="X755" i="1"/>
  <c r="W755" i="1"/>
  <c r="G755" i="1"/>
  <c r="F755" i="1"/>
  <c r="E755" i="1"/>
  <c r="D755" i="1"/>
  <c r="C755" i="1"/>
  <c r="B755" i="1"/>
  <c r="I755" i="1" s="1"/>
  <c r="V755" i="1" s="1"/>
  <c r="X754" i="1"/>
  <c r="W754" i="1"/>
  <c r="G754" i="1"/>
  <c r="F754" i="1"/>
  <c r="E754" i="1"/>
  <c r="D754" i="1"/>
  <c r="C754" i="1"/>
  <c r="B754" i="1"/>
  <c r="X753" i="1"/>
  <c r="W753" i="1"/>
  <c r="V753" i="1"/>
  <c r="M753" i="1"/>
  <c r="I753" i="1"/>
  <c r="G753" i="1"/>
  <c r="F753" i="1"/>
  <c r="E753" i="1"/>
  <c r="D753" i="1"/>
  <c r="C753" i="1"/>
  <c r="B753" i="1"/>
  <c r="X752" i="1"/>
  <c r="W752" i="1"/>
  <c r="G752" i="1"/>
  <c r="F752" i="1"/>
  <c r="E752" i="1"/>
  <c r="D752" i="1"/>
  <c r="C752" i="1"/>
  <c r="B752" i="1"/>
  <c r="M752" i="1" s="1"/>
  <c r="X751" i="1"/>
  <c r="W751" i="1"/>
  <c r="M751" i="1"/>
  <c r="I751" i="1"/>
  <c r="V751" i="1" s="1"/>
  <c r="G751" i="1"/>
  <c r="F751" i="1"/>
  <c r="E751" i="1"/>
  <c r="D751" i="1"/>
  <c r="C751" i="1"/>
  <c r="B751" i="1"/>
  <c r="X750" i="1"/>
  <c r="W750" i="1"/>
  <c r="G750" i="1"/>
  <c r="F750" i="1"/>
  <c r="E750" i="1"/>
  <c r="D750" i="1"/>
  <c r="C750" i="1"/>
  <c r="B750" i="1"/>
  <c r="X749" i="1"/>
  <c r="W749" i="1"/>
  <c r="M749" i="1"/>
  <c r="I749" i="1"/>
  <c r="V749" i="1" s="1"/>
  <c r="G749" i="1"/>
  <c r="F749" i="1"/>
  <c r="E749" i="1"/>
  <c r="D749" i="1"/>
  <c r="C749" i="1"/>
  <c r="B749" i="1"/>
  <c r="X748" i="1"/>
  <c r="W748" i="1"/>
  <c r="G748" i="1"/>
  <c r="F748" i="1"/>
  <c r="E748" i="1"/>
  <c r="D748" i="1"/>
  <c r="C748" i="1"/>
  <c r="B748" i="1"/>
  <c r="M748" i="1" s="1"/>
  <c r="X747" i="1"/>
  <c r="W747" i="1"/>
  <c r="M747" i="1"/>
  <c r="G747" i="1"/>
  <c r="F747" i="1"/>
  <c r="E747" i="1"/>
  <c r="D747" i="1"/>
  <c r="C747" i="1"/>
  <c r="B747" i="1"/>
  <c r="I747" i="1" s="1"/>
  <c r="V747" i="1" s="1"/>
  <c r="X746" i="1"/>
  <c r="W746" i="1"/>
  <c r="G746" i="1"/>
  <c r="F746" i="1"/>
  <c r="E746" i="1"/>
  <c r="D746" i="1"/>
  <c r="C746" i="1"/>
  <c r="B746" i="1"/>
  <c r="M746" i="1" s="1"/>
  <c r="X745" i="1"/>
  <c r="W745" i="1"/>
  <c r="G745" i="1"/>
  <c r="F745" i="1"/>
  <c r="E745" i="1"/>
  <c r="D745" i="1"/>
  <c r="C745" i="1"/>
  <c r="B745" i="1"/>
  <c r="I745" i="1" s="1"/>
  <c r="V745" i="1" s="1"/>
  <c r="X744" i="1"/>
  <c r="W744" i="1"/>
  <c r="I744" i="1"/>
  <c r="V744" i="1" s="1"/>
  <c r="G744" i="1"/>
  <c r="F744" i="1"/>
  <c r="E744" i="1"/>
  <c r="D744" i="1"/>
  <c r="C744" i="1"/>
  <c r="B744" i="1"/>
  <c r="M744" i="1" s="1"/>
  <c r="X743" i="1"/>
  <c r="W743" i="1"/>
  <c r="V743" i="1"/>
  <c r="M743" i="1"/>
  <c r="G743" i="1"/>
  <c r="F743" i="1"/>
  <c r="E743" i="1"/>
  <c r="D743" i="1"/>
  <c r="C743" i="1"/>
  <c r="B743" i="1"/>
  <c r="I743" i="1" s="1"/>
  <c r="X742" i="1"/>
  <c r="W742" i="1"/>
  <c r="M742" i="1"/>
  <c r="I742" i="1"/>
  <c r="V742" i="1" s="1"/>
  <c r="G742" i="1"/>
  <c r="F742" i="1"/>
  <c r="E742" i="1"/>
  <c r="D742" i="1"/>
  <c r="C742" i="1"/>
  <c r="B742" i="1"/>
  <c r="X741" i="1"/>
  <c r="W741" i="1"/>
  <c r="M741" i="1"/>
  <c r="I741" i="1"/>
  <c r="V741" i="1" s="1"/>
  <c r="G741" i="1"/>
  <c r="F741" i="1"/>
  <c r="E741" i="1"/>
  <c r="D741" i="1"/>
  <c r="C741" i="1"/>
  <c r="B741" i="1"/>
  <c r="X740" i="1"/>
  <c r="W740" i="1"/>
  <c r="I740" i="1"/>
  <c r="V740" i="1" s="1"/>
  <c r="G740" i="1"/>
  <c r="F740" i="1"/>
  <c r="E740" i="1"/>
  <c r="D740" i="1"/>
  <c r="C740" i="1"/>
  <c r="B740" i="1"/>
  <c r="M740" i="1" s="1"/>
  <c r="X739" i="1"/>
  <c r="W739" i="1"/>
  <c r="M739" i="1"/>
  <c r="G739" i="1"/>
  <c r="F739" i="1"/>
  <c r="E739" i="1"/>
  <c r="D739" i="1"/>
  <c r="C739" i="1"/>
  <c r="B739" i="1"/>
  <c r="I739" i="1" s="1"/>
  <c r="V739" i="1" s="1"/>
  <c r="X738" i="1"/>
  <c r="W738" i="1"/>
  <c r="I738" i="1"/>
  <c r="V738" i="1" s="1"/>
  <c r="G738" i="1"/>
  <c r="F738" i="1"/>
  <c r="E738" i="1"/>
  <c r="D738" i="1"/>
  <c r="C738" i="1"/>
  <c r="B738" i="1"/>
  <c r="M738" i="1" s="1"/>
  <c r="X737" i="1"/>
  <c r="W737" i="1"/>
  <c r="M737" i="1"/>
  <c r="I737" i="1"/>
  <c r="V737" i="1" s="1"/>
  <c r="G737" i="1"/>
  <c r="F737" i="1"/>
  <c r="E737" i="1"/>
  <c r="D737" i="1"/>
  <c r="C737" i="1"/>
  <c r="B737" i="1"/>
  <c r="X736" i="1"/>
  <c r="W736" i="1"/>
  <c r="I736" i="1"/>
  <c r="V736" i="1" s="1"/>
  <c r="G736" i="1"/>
  <c r="F736" i="1"/>
  <c r="E736" i="1"/>
  <c r="D736" i="1"/>
  <c r="C736" i="1"/>
  <c r="B736" i="1"/>
  <c r="M736" i="1" s="1"/>
  <c r="X735" i="1"/>
  <c r="W735" i="1"/>
  <c r="G735" i="1"/>
  <c r="F735" i="1"/>
  <c r="E735" i="1"/>
  <c r="D735" i="1"/>
  <c r="C735" i="1"/>
  <c r="B735" i="1"/>
  <c r="X734" i="1"/>
  <c r="W734" i="1"/>
  <c r="V734" i="1"/>
  <c r="M734" i="1"/>
  <c r="I734" i="1"/>
  <c r="G734" i="1"/>
  <c r="F734" i="1"/>
  <c r="E734" i="1"/>
  <c r="D734" i="1"/>
  <c r="C734" i="1"/>
  <c r="B734" i="1"/>
  <c r="X733" i="1"/>
  <c r="W733" i="1"/>
  <c r="M733" i="1"/>
  <c r="I733" i="1"/>
  <c r="V733" i="1" s="1"/>
  <c r="G733" i="1"/>
  <c r="F733" i="1"/>
  <c r="E733" i="1"/>
  <c r="D733" i="1"/>
  <c r="C733" i="1"/>
  <c r="B733" i="1"/>
  <c r="X732" i="1"/>
  <c r="W732" i="1"/>
  <c r="G732" i="1"/>
  <c r="F732" i="1"/>
  <c r="E732" i="1"/>
  <c r="D732" i="1"/>
  <c r="C732" i="1"/>
  <c r="B732" i="1"/>
  <c r="M732" i="1" s="1"/>
  <c r="X731" i="1"/>
  <c r="W731" i="1"/>
  <c r="G731" i="1"/>
  <c r="F731" i="1"/>
  <c r="E731" i="1"/>
  <c r="D731" i="1"/>
  <c r="C731" i="1"/>
  <c r="B731" i="1"/>
  <c r="I731" i="1" s="1"/>
  <c r="V731" i="1" s="1"/>
  <c r="X730" i="1"/>
  <c r="W730" i="1"/>
  <c r="G730" i="1"/>
  <c r="F730" i="1"/>
  <c r="E730" i="1"/>
  <c r="D730" i="1"/>
  <c r="C730" i="1"/>
  <c r="B730" i="1"/>
  <c r="X729" i="1"/>
  <c r="W729" i="1"/>
  <c r="V729" i="1"/>
  <c r="M729" i="1"/>
  <c r="I729" i="1"/>
  <c r="G729" i="1"/>
  <c r="F729" i="1"/>
  <c r="E729" i="1"/>
  <c r="D729" i="1"/>
  <c r="C729" i="1"/>
  <c r="B729" i="1"/>
  <c r="X728" i="1"/>
  <c r="W728" i="1"/>
  <c r="I728" i="1"/>
  <c r="V728" i="1" s="1"/>
  <c r="G728" i="1"/>
  <c r="F728" i="1"/>
  <c r="E728" i="1"/>
  <c r="D728" i="1"/>
  <c r="C728" i="1"/>
  <c r="B728" i="1"/>
  <c r="M728" i="1" s="1"/>
  <c r="X727" i="1"/>
  <c r="W727" i="1"/>
  <c r="M727" i="1"/>
  <c r="I727" i="1"/>
  <c r="V727" i="1" s="1"/>
  <c r="G727" i="1"/>
  <c r="F727" i="1"/>
  <c r="E727" i="1"/>
  <c r="D727" i="1"/>
  <c r="C727" i="1"/>
  <c r="B727" i="1"/>
  <c r="X726" i="1"/>
  <c r="W726" i="1"/>
  <c r="G726" i="1"/>
  <c r="F726" i="1"/>
  <c r="E726" i="1"/>
  <c r="D726" i="1"/>
  <c r="C726" i="1"/>
  <c r="B726" i="1"/>
  <c r="X725" i="1"/>
  <c r="W725" i="1"/>
  <c r="M725" i="1"/>
  <c r="I725" i="1"/>
  <c r="V725" i="1" s="1"/>
  <c r="G725" i="1"/>
  <c r="F725" i="1"/>
  <c r="E725" i="1"/>
  <c r="D725" i="1"/>
  <c r="C725" i="1"/>
  <c r="B725" i="1"/>
  <c r="X724" i="1"/>
  <c r="W724" i="1"/>
  <c r="G724" i="1"/>
  <c r="F724" i="1"/>
  <c r="E724" i="1"/>
  <c r="D724" i="1"/>
  <c r="C724" i="1"/>
  <c r="B724" i="1"/>
  <c r="M724" i="1" s="1"/>
  <c r="X723" i="1"/>
  <c r="W723" i="1"/>
  <c r="M723" i="1"/>
  <c r="G723" i="1"/>
  <c r="F723" i="1"/>
  <c r="E723" i="1"/>
  <c r="D723" i="1"/>
  <c r="C723" i="1"/>
  <c r="B723" i="1"/>
  <c r="I723" i="1" s="1"/>
  <c r="V723" i="1" s="1"/>
  <c r="X722" i="1"/>
  <c r="W722" i="1"/>
  <c r="G722" i="1"/>
  <c r="F722" i="1"/>
  <c r="E722" i="1"/>
  <c r="D722" i="1"/>
  <c r="C722" i="1"/>
  <c r="B722" i="1"/>
  <c r="M722" i="1" s="1"/>
  <c r="X721" i="1"/>
  <c r="W721" i="1"/>
  <c r="G721" i="1"/>
  <c r="F721" i="1"/>
  <c r="E721" i="1"/>
  <c r="D721" i="1"/>
  <c r="C721" i="1"/>
  <c r="B721" i="1"/>
  <c r="I721" i="1" s="1"/>
  <c r="V721" i="1" s="1"/>
  <c r="X720" i="1"/>
  <c r="W720" i="1"/>
  <c r="I720" i="1"/>
  <c r="V720" i="1" s="1"/>
  <c r="G720" i="1"/>
  <c r="F720" i="1"/>
  <c r="E720" i="1"/>
  <c r="D720" i="1"/>
  <c r="C720" i="1"/>
  <c r="B720" i="1"/>
  <c r="M720" i="1" s="1"/>
  <c r="X719" i="1"/>
  <c r="W719" i="1"/>
  <c r="V719" i="1"/>
  <c r="M719" i="1"/>
  <c r="G719" i="1"/>
  <c r="F719" i="1"/>
  <c r="E719" i="1"/>
  <c r="D719" i="1"/>
  <c r="C719" i="1"/>
  <c r="B719" i="1"/>
  <c r="I719" i="1" s="1"/>
  <c r="X718" i="1"/>
  <c r="W718" i="1"/>
  <c r="V718" i="1"/>
  <c r="M718" i="1"/>
  <c r="I718" i="1"/>
  <c r="G718" i="1"/>
  <c r="F718" i="1"/>
  <c r="E718" i="1"/>
  <c r="D718" i="1"/>
  <c r="C718" i="1"/>
  <c r="B718" i="1"/>
  <c r="X717" i="1"/>
  <c r="W717" i="1"/>
  <c r="M717" i="1"/>
  <c r="I717" i="1"/>
  <c r="V717" i="1" s="1"/>
  <c r="G717" i="1"/>
  <c r="F717" i="1"/>
  <c r="E717" i="1"/>
  <c r="D717" i="1"/>
  <c r="C717" i="1"/>
  <c r="B717" i="1"/>
  <c r="X716" i="1"/>
  <c r="W716" i="1"/>
  <c r="G716" i="1"/>
  <c r="F716" i="1"/>
  <c r="E716" i="1"/>
  <c r="D716" i="1"/>
  <c r="C716" i="1"/>
  <c r="B716" i="1"/>
  <c r="M716" i="1" s="1"/>
  <c r="X715" i="1"/>
  <c r="W715" i="1"/>
  <c r="M715" i="1"/>
  <c r="G715" i="1"/>
  <c r="F715" i="1"/>
  <c r="E715" i="1"/>
  <c r="D715" i="1"/>
  <c r="C715" i="1"/>
  <c r="B715" i="1"/>
  <c r="I715" i="1" s="1"/>
  <c r="V715" i="1" s="1"/>
  <c r="X714" i="1"/>
  <c r="W714" i="1"/>
  <c r="I714" i="1"/>
  <c r="V714" i="1" s="1"/>
  <c r="G714" i="1"/>
  <c r="F714" i="1"/>
  <c r="E714" i="1"/>
  <c r="D714" i="1"/>
  <c r="C714" i="1"/>
  <c r="B714" i="1"/>
  <c r="M714" i="1" s="1"/>
  <c r="X713" i="1"/>
  <c r="W713" i="1"/>
  <c r="M713" i="1"/>
  <c r="I713" i="1"/>
  <c r="V713" i="1" s="1"/>
  <c r="G713" i="1"/>
  <c r="F713" i="1"/>
  <c r="E713" i="1"/>
  <c r="D713" i="1"/>
  <c r="C713" i="1"/>
  <c r="B713" i="1"/>
  <c r="X712" i="1"/>
  <c r="W712" i="1"/>
  <c r="I712" i="1"/>
  <c r="V712" i="1" s="1"/>
  <c r="G712" i="1"/>
  <c r="F712" i="1"/>
  <c r="E712" i="1"/>
  <c r="D712" i="1"/>
  <c r="C712" i="1"/>
  <c r="B712" i="1"/>
  <c r="M712" i="1" s="1"/>
  <c r="X711" i="1"/>
  <c r="W711" i="1"/>
  <c r="G711" i="1"/>
  <c r="F711" i="1"/>
  <c r="E711" i="1"/>
  <c r="D711" i="1"/>
  <c r="C711" i="1"/>
  <c r="B711" i="1"/>
  <c r="X710" i="1"/>
  <c r="W710" i="1"/>
  <c r="V710" i="1"/>
  <c r="M710" i="1"/>
  <c r="I710" i="1"/>
  <c r="G710" i="1"/>
  <c r="F710" i="1"/>
  <c r="E710" i="1"/>
  <c r="D710" i="1"/>
  <c r="C710" i="1"/>
  <c r="B710" i="1"/>
  <c r="X709" i="1"/>
  <c r="W709" i="1"/>
  <c r="M709" i="1"/>
  <c r="I709" i="1"/>
  <c r="V709" i="1" s="1"/>
  <c r="G709" i="1"/>
  <c r="F709" i="1"/>
  <c r="E709" i="1"/>
  <c r="D709" i="1"/>
  <c r="C709" i="1"/>
  <c r="B709" i="1"/>
  <c r="X708" i="1"/>
  <c r="W708" i="1"/>
  <c r="G708" i="1"/>
  <c r="F708" i="1"/>
  <c r="E708" i="1"/>
  <c r="D708" i="1"/>
  <c r="C708" i="1"/>
  <c r="B708" i="1"/>
  <c r="M708" i="1" s="1"/>
  <c r="X707" i="1"/>
  <c r="W707" i="1"/>
  <c r="G707" i="1"/>
  <c r="F707" i="1"/>
  <c r="E707" i="1"/>
  <c r="D707" i="1"/>
  <c r="C707" i="1"/>
  <c r="B707" i="1"/>
  <c r="I707" i="1" s="1"/>
  <c r="V707" i="1" s="1"/>
  <c r="X706" i="1"/>
  <c r="W706" i="1"/>
  <c r="G706" i="1"/>
  <c r="F706" i="1"/>
  <c r="E706" i="1"/>
  <c r="D706" i="1"/>
  <c r="C706" i="1"/>
  <c r="B706" i="1"/>
  <c r="X705" i="1"/>
  <c r="W705" i="1"/>
  <c r="V705" i="1"/>
  <c r="M705" i="1"/>
  <c r="I705" i="1"/>
  <c r="G705" i="1"/>
  <c r="F705" i="1"/>
  <c r="E705" i="1"/>
  <c r="D705" i="1"/>
  <c r="C705" i="1"/>
  <c r="B705" i="1"/>
  <c r="X704" i="1"/>
  <c r="W704" i="1"/>
  <c r="I704" i="1"/>
  <c r="V704" i="1" s="1"/>
  <c r="G704" i="1"/>
  <c r="F704" i="1"/>
  <c r="E704" i="1"/>
  <c r="D704" i="1"/>
  <c r="C704" i="1"/>
  <c r="B704" i="1"/>
  <c r="M704" i="1" s="1"/>
  <c r="X703" i="1"/>
  <c r="W703" i="1"/>
  <c r="M703" i="1"/>
  <c r="I703" i="1"/>
  <c r="V703" i="1" s="1"/>
  <c r="G703" i="1"/>
  <c r="F703" i="1"/>
  <c r="E703" i="1"/>
  <c r="D703" i="1"/>
  <c r="C703" i="1"/>
  <c r="B703" i="1"/>
  <c r="X702" i="1"/>
  <c r="W702" i="1"/>
  <c r="G702" i="1"/>
  <c r="F702" i="1"/>
  <c r="E702" i="1"/>
  <c r="D702" i="1"/>
  <c r="C702" i="1"/>
  <c r="B702" i="1"/>
  <c r="X701" i="1"/>
  <c r="W701" i="1"/>
  <c r="M701" i="1"/>
  <c r="I701" i="1"/>
  <c r="V701" i="1" s="1"/>
  <c r="G701" i="1"/>
  <c r="F701" i="1"/>
  <c r="E701" i="1"/>
  <c r="D701" i="1"/>
  <c r="C701" i="1"/>
  <c r="B701" i="1"/>
  <c r="X700" i="1"/>
  <c r="W700" i="1"/>
  <c r="I700" i="1"/>
  <c r="V700" i="1" s="1"/>
  <c r="G700" i="1"/>
  <c r="F700" i="1"/>
  <c r="E700" i="1"/>
  <c r="D700" i="1"/>
  <c r="C700" i="1"/>
  <c r="B700" i="1"/>
  <c r="M700" i="1" s="1"/>
  <c r="X699" i="1"/>
  <c r="W699" i="1"/>
  <c r="M699" i="1"/>
  <c r="G699" i="1"/>
  <c r="F699" i="1"/>
  <c r="E699" i="1"/>
  <c r="D699" i="1"/>
  <c r="C699" i="1"/>
  <c r="B699" i="1"/>
  <c r="I699" i="1" s="1"/>
  <c r="V699" i="1" s="1"/>
  <c r="X698" i="1"/>
  <c r="W698" i="1"/>
  <c r="G698" i="1"/>
  <c r="F698" i="1"/>
  <c r="E698" i="1"/>
  <c r="D698" i="1"/>
  <c r="C698" i="1"/>
  <c r="B698" i="1"/>
  <c r="M698" i="1" s="1"/>
  <c r="X697" i="1"/>
  <c r="W697" i="1"/>
  <c r="G697" i="1"/>
  <c r="F697" i="1"/>
  <c r="E697" i="1"/>
  <c r="D697" i="1"/>
  <c r="C697" i="1"/>
  <c r="B697" i="1"/>
  <c r="I697" i="1" s="1"/>
  <c r="V697" i="1" s="1"/>
  <c r="X696" i="1"/>
  <c r="W696" i="1"/>
  <c r="I696" i="1"/>
  <c r="V696" i="1" s="1"/>
  <c r="G696" i="1"/>
  <c r="F696" i="1"/>
  <c r="E696" i="1"/>
  <c r="D696" i="1"/>
  <c r="C696" i="1"/>
  <c r="B696" i="1"/>
  <c r="M696" i="1" s="1"/>
  <c r="X695" i="1"/>
  <c r="W695" i="1"/>
  <c r="V695" i="1"/>
  <c r="M695" i="1"/>
  <c r="G695" i="1"/>
  <c r="F695" i="1"/>
  <c r="E695" i="1"/>
  <c r="D695" i="1"/>
  <c r="C695" i="1"/>
  <c r="B695" i="1"/>
  <c r="I695" i="1" s="1"/>
  <c r="X694" i="1"/>
  <c r="W694" i="1"/>
  <c r="M694" i="1"/>
  <c r="I694" i="1"/>
  <c r="V694" i="1" s="1"/>
  <c r="G694" i="1"/>
  <c r="F694" i="1"/>
  <c r="E694" i="1"/>
  <c r="D694" i="1"/>
  <c r="C694" i="1"/>
  <c r="B694" i="1"/>
  <c r="X693" i="1"/>
  <c r="W693" i="1"/>
  <c r="M693" i="1"/>
  <c r="I693" i="1"/>
  <c r="V693" i="1" s="1"/>
  <c r="G693" i="1"/>
  <c r="F693" i="1"/>
  <c r="E693" i="1"/>
  <c r="D693" i="1"/>
  <c r="C693" i="1"/>
  <c r="B693" i="1"/>
  <c r="X692" i="1"/>
  <c r="W692" i="1"/>
  <c r="G692" i="1"/>
  <c r="F692" i="1"/>
  <c r="E692" i="1"/>
  <c r="D692" i="1"/>
  <c r="C692" i="1"/>
  <c r="B692" i="1"/>
  <c r="M692" i="1" s="1"/>
  <c r="X691" i="1"/>
  <c r="W691" i="1"/>
  <c r="G691" i="1"/>
  <c r="F691" i="1"/>
  <c r="E691" i="1"/>
  <c r="D691" i="1"/>
  <c r="C691" i="1"/>
  <c r="B691" i="1"/>
  <c r="I691" i="1" s="1"/>
  <c r="V691" i="1" s="1"/>
  <c r="X690" i="1"/>
  <c r="W690" i="1"/>
  <c r="I690" i="1"/>
  <c r="V690" i="1" s="1"/>
  <c r="G690" i="1"/>
  <c r="F690" i="1"/>
  <c r="E690" i="1"/>
  <c r="D690" i="1"/>
  <c r="C690" i="1"/>
  <c r="B690" i="1"/>
  <c r="M690" i="1" s="1"/>
  <c r="X689" i="1"/>
  <c r="W689" i="1"/>
  <c r="M689" i="1"/>
  <c r="I689" i="1"/>
  <c r="V689" i="1" s="1"/>
  <c r="G689" i="1"/>
  <c r="F689" i="1"/>
  <c r="E689" i="1"/>
  <c r="D689" i="1"/>
  <c r="C689" i="1"/>
  <c r="B689" i="1"/>
  <c r="X688" i="1"/>
  <c r="W688" i="1"/>
  <c r="G688" i="1"/>
  <c r="F688" i="1"/>
  <c r="E688" i="1"/>
  <c r="D688" i="1"/>
  <c r="C688" i="1"/>
  <c r="B688" i="1"/>
  <c r="M688" i="1" s="1"/>
  <c r="X687" i="1"/>
  <c r="W687" i="1"/>
  <c r="G687" i="1"/>
  <c r="F687" i="1"/>
  <c r="E687" i="1"/>
  <c r="D687" i="1"/>
  <c r="C687" i="1"/>
  <c r="B687" i="1"/>
  <c r="X686" i="1"/>
  <c r="W686" i="1"/>
  <c r="V686" i="1"/>
  <c r="M686" i="1"/>
  <c r="I686" i="1"/>
  <c r="G686" i="1"/>
  <c r="F686" i="1"/>
  <c r="E686" i="1"/>
  <c r="D686" i="1"/>
  <c r="C686" i="1"/>
  <c r="B686" i="1"/>
  <c r="X685" i="1"/>
  <c r="W685" i="1"/>
  <c r="M685" i="1"/>
  <c r="I685" i="1"/>
  <c r="V685" i="1" s="1"/>
  <c r="G685" i="1"/>
  <c r="F685" i="1"/>
  <c r="E685" i="1"/>
  <c r="D685" i="1"/>
  <c r="C685" i="1"/>
  <c r="B685" i="1"/>
  <c r="X684" i="1"/>
  <c r="W684" i="1"/>
  <c r="G684" i="1"/>
  <c r="F684" i="1"/>
  <c r="E684" i="1"/>
  <c r="D684" i="1"/>
  <c r="C684" i="1"/>
  <c r="B684" i="1"/>
  <c r="X683" i="1"/>
  <c r="W683" i="1"/>
  <c r="G683" i="1"/>
  <c r="F683" i="1"/>
  <c r="E683" i="1"/>
  <c r="D683" i="1"/>
  <c r="C683" i="1"/>
  <c r="B683" i="1"/>
  <c r="X682" i="1"/>
  <c r="W682" i="1"/>
  <c r="G682" i="1"/>
  <c r="F682" i="1"/>
  <c r="E682" i="1"/>
  <c r="D682" i="1"/>
  <c r="C682" i="1"/>
  <c r="B682" i="1"/>
  <c r="X681" i="1"/>
  <c r="W681" i="1"/>
  <c r="V681" i="1"/>
  <c r="M681" i="1"/>
  <c r="I681" i="1"/>
  <c r="G681" i="1"/>
  <c r="F681" i="1"/>
  <c r="E681" i="1"/>
  <c r="D681" i="1"/>
  <c r="C681" i="1"/>
  <c r="B681" i="1"/>
  <c r="X680" i="1"/>
  <c r="W680" i="1"/>
  <c r="M680" i="1"/>
  <c r="I680" i="1"/>
  <c r="V680" i="1" s="1"/>
  <c r="G680" i="1"/>
  <c r="F680" i="1"/>
  <c r="E680" i="1"/>
  <c r="D680" i="1"/>
  <c r="C680" i="1"/>
  <c r="B680" i="1"/>
  <c r="X679" i="1"/>
  <c r="W679" i="1"/>
  <c r="V679" i="1"/>
  <c r="M679" i="1"/>
  <c r="I679" i="1"/>
  <c r="G679" i="1"/>
  <c r="F679" i="1"/>
  <c r="E679" i="1"/>
  <c r="D679" i="1"/>
  <c r="C679" i="1"/>
  <c r="B679" i="1"/>
  <c r="X678" i="1"/>
  <c r="W678" i="1"/>
  <c r="V678" i="1"/>
  <c r="M678" i="1"/>
  <c r="G678" i="1"/>
  <c r="F678" i="1"/>
  <c r="E678" i="1"/>
  <c r="D678" i="1"/>
  <c r="C678" i="1"/>
  <c r="B678" i="1"/>
  <c r="I678" i="1" s="1"/>
  <c r="X677" i="1"/>
  <c r="W677" i="1"/>
  <c r="M677" i="1"/>
  <c r="I677" i="1"/>
  <c r="V677" i="1" s="1"/>
  <c r="G677" i="1"/>
  <c r="F677" i="1"/>
  <c r="E677" i="1"/>
  <c r="D677" i="1"/>
  <c r="C677" i="1"/>
  <c r="B677" i="1"/>
  <c r="X676" i="1"/>
  <c r="W676" i="1"/>
  <c r="G676" i="1"/>
  <c r="F676" i="1"/>
  <c r="E676" i="1"/>
  <c r="D676" i="1"/>
  <c r="C676" i="1"/>
  <c r="B676" i="1"/>
  <c r="M676" i="1" s="1"/>
  <c r="X675" i="1"/>
  <c r="W675" i="1"/>
  <c r="M675" i="1"/>
  <c r="G675" i="1"/>
  <c r="F675" i="1"/>
  <c r="E675" i="1"/>
  <c r="D675" i="1"/>
  <c r="C675" i="1"/>
  <c r="B675" i="1"/>
  <c r="I675" i="1" s="1"/>
  <c r="V675" i="1" s="1"/>
  <c r="X674" i="1"/>
  <c r="W674" i="1"/>
  <c r="G674" i="1"/>
  <c r="F674" i="1"/>
  <c r="E674" i="1"/>
  <c r="D674" i="1"/>
  <c r="C674" i="1"/>
  <c r="B674" i="1"/>
  <c r="X673" i="1"/>
  <c r="W673" i="1"/>
  <c r="M673" i="1"/>
  <c r="G673" i="1"/>
  <c r="F673" i="1"/>
  <c r="E673" i="1"/>
  <c r="D673" i="1"/>
  <c r="C673" i="1"/>
  <c r="B673" i="1"/>
  <c r="I673" i="1" s="1"/>
  <c r="V673" i="1" s="1"/>
  <c r="X672" i="1"/>
  <c r="W672" i="1"/>
  <c r="I672" i="1"/>
  <c r="V672" i="1" s="1"/>
  <c r="G672" i="1"/>
  <c r="F672" i="1"/>
  <c r="E672" i="1"/>
  <c r="D672" i="1"/>
  <c r="C672" i="1"/>
  <c r="B672" i="1"/>
  <c r="M672" i="1" s="1"/>
  <c r="X671" i="1"/>
  <c r="W671" i="1"/>
  <c r="V671" i="1"/>
  <c r="M671" i="1"/>
  <c r="G671" i="1"/>
  <c r="F671" i="1"/>
  <c r="E671" i="1"/>
  <c r="D671" i="1"/>
  <c r="C671" i="1"/>
  <c r="B671" i="1"/>
  <c r="I671" i="1" s="1"/>
  <c r="X670" i="1"/>
  <c r="W670" i="1"/>
  <c r="V670" i="1"/>
  <c r="M670" i="1"/>
  <c r="I670" i="1"/>
  <c r="G670" i="1"/>
  <c r="F670" i="1"/>
  <c r="E670" i="1"/>
  <c r="D670" i="1"/>
  <c r="C670" i="1"/>
  <c r="B670" i="1"/>
  <c r="X669" i="1"/>
  <c r="W669" i="1"/>
  <c r="M669" i="1"/>
  <c r="I669" i="1"/>
  <c r="V669" i="1" s="1"/>
  <c r="G669" i="1"/>
  <c r="F669" i="1"/>
  <c r="E669" i="1"/>
  <c r="D669" i="1"/>
  <c r="C669" i="1"/>
  <c r="B669" i="1"/>
  <c r="X668" i="1"/>
  <c r="W668" i="1"/>
  <c r="G668" i="1"/>
  <c r="F668" i="1"/>
  <c r="E668" i="1"/>
  <c r="D668" i="1"/>
  <c r="C668" i="1"/>
  <c r="B668" i="1"/>
  <c r="M668" i="1" s="1"/>
  <c r="X667" i="1"/>
  <c r="W667" i="1"/>
  <c r="G667" i="1"/>
  <c r="F667" i="1"/>
  <c r="E667" i="1"/>
  <c r="D667" i="1"/>
  <c r="C667" i="1"/>
  <c r="B667" i="1"/>
  <c r="I667" i="1" s="1"/>
  <c r="V667" i="1" s="1"/>
  <c r="X666" i="1"/>
  <c r="W666" i="1"/>
  <c r="I666" i="1"/>
  <c r="V666" i="1" s="1"/>
  <c r="G666" i="1"/>
  <c r="F666" i="1"/>
  <c r="E666" i="1"/>
  <c r="D666" i="1"/>
  <c r="C666" i="1"/>
  <c r="B666" i="1"/>
  <c r="M666" i="1" s="1"/>
  <c r="X665" i="1"/>
  <c r="W665" i="1"/>
  <c r="M665" i="1"/>
  <c r="I665" i="1"/>
  <c r="V665" i="1" s="1"/>
  <c r="G665" i="1"/>
  <c r="F665" i="1"/>
  <c r="E665" i="1"/>
  <c r="D665" i="1"/>
  <c r="C665" i="1"/>
  <c r="B665" i="1"/>
  <c r="X664" i="1"/>
  <c r="W664" i="1"/>
  <c r="I664" i="1"/>
  <c r="V664" i="1" s="1"/>
  <c r="G664" i="1"/>
  <c r="F664" i="1"/>
  <c r="E664" i="1"/>
  <c r="D664" i="1"/>
  <c r="C664" i="1"/>
  <c r="B664" i="1"/>
  <c r="M664" i="1" s="1"/>
  <c r="X663" i="1"/>
  <c r="W663" i="1"/>
  <c r="G663" i="1"/>
  <c r="F663" i="1"/>
  <c r="E663" i="1"/>
  <c r="D663" i="1"/>
  <c r="C663" i="1"/>
  <c r="B663" i="1"/>
  <c r="X662" i="1"/>
  <c r="W662" i="1"/>
  <c r="M662" i="1"/>
  <c r="I662" i="1"/>
  <c r="V662" i="1" s="1"/>
  <c r="G662" i="1"/>
  <c r="F662" i="1"/>
  <c r="E662" i="1"/>
  <c r="D662" i="1"/>
  <c r="C662" i="1"/>
  <c r="B662" i="1"/>
  <c r="X661" i="1"/>
  <c r="W661" i="1"/>
  <c r="M661" i="1"/>
  <c r="I661" i="1"/>
  <c r="V661" i="1" s="1"/>
  <c r="G661" i="1"/>
  <c r="F661" i="1"/>
  <c r="E661" i="1"/>
  <c r="D661" i="1"/>
  <c r="C661" i="1"/>
  <c r="B661" i="1"/>
  <c r="X660" i="1"/>
  <c r="W660" i="1"/>
  <c r="G660" i="1"/>
  <c r="F660" i="1"/>
  <c r="E660" i="1"/>
  <c r="D660" i="1"/>
  <c r="C660" i="1"/>
  <c r="B660" i="1"/>
  <c r="X659" i="1"/>
  <c r="W659" i="1"/>
  <c r="G659" i="1"/>
  <c r="F659" i="1"/>
  <c r="E659" i="1"/>
  <c r="D659" i="1"/>
  <c r="C659" i="1"/>
  <c r="B659" i="1"/>
  <c r="X658" i="1"/>
  <c r="W658" i="1"/>
  <c r="G658" i="1"/>
  <c r="F658" i="1"/>
  <c r="E658" i="1"/>
  <c r="D658" i="1"/>
  <c r="C658" i="1"/>
  <c r="B658" i="1"/>
  <c r="X657" i="1"/>
  <c r="W657" i="1"/>
  <c r="V657" i="1"/>
  <c r="M657" i="1"/>
  <c r="I657" i="1"/>
  <c r="G657" i="1"/>
  <c r="F657" i="1"/>
  <c r="E657" i="1"/>
  <c r="D657" i="1"/>
  <c r="C657" i="1"/>
  <c r="B657" i="1"/>
  <c r="X656" i="1"/>
  <c r="W656" i="1"/>
  <c r="M656" i="1"/>
  <c r="G656" i="1"/>
  <c r="F656" i="1"/>
  <c r="E656" i="1"/>
  <c r="D656" i="1"/>
  <c r="C656" i="1"/>
  <c r="B656" i="1"/>
  <c r="I656" i="1" s="1"/>
  <c r="V656" i="1" s="1"/>
  <c r="X655" i="1"/>
  <c r="W655" i="1"/>
  <c r="M655" i="1"/>
  <c r="I655" i="1"/>
  <c r="V655" i="1" s="1"/>
  <c r="G655" i="1"/>
  <c r="F655" i="1"/>
  <c r="E655" i="1"/>
  <c r="D655" i="1"/>
  <c r="C655" i="1"/>
  <c r="B655" i="1"/>
  <c r="X654" i="1"/>
  <c r="W654" i="1"/>
  <c r="G654" i="1"/>
  <c r="F654" i="1"/>
  <c r="E654" i="1"/>
  <c r="D654" i="1"/>
  <c r="C654" i="1"/>
  <c r="B654" i="1"/>
  <c r="I654" i="1" s="1"/>
  <c r="V654" i="1" s="1"/>
  <c r="X653" i="1"/>
  <c r="W653" i="1"/>
  <c r="M653" i="1"/>
  <c r="I653" i="1"/>
  <c r="V653" i="1" s="1"/>
  <c r="G653" i="1"/>
  <c r="F653" i="1"/>
  <c r="E653" i="1"/>
  <c r="D653" i="1"/>
  <c r="C653" i="1"/>
  <c r="B653" i="1"/>
  <c r="X652" i="1"/>
  <c r="W652" i="1"/>
  <c r="G652" i="1"/>
  <c r="F652" i="1"/>
  <c r="E652" i="1"/>
  <c r="D652" i="1"/>
  <c r="C652" i="1"/>
  <c r="B652" i="1"/>
  <c r="M652" i="1" s="1"/>
  <c r="X651" i="1"/>
  <c r="W651" i="1"/>
  <c r="M651" i="1"/>
  <c r="G651" i="1"/>
  <c r="F651" i="1"/>
  <c r="E651" i="1"/>
  <c r="D651" i="1"/>
  <c r="C651" i="1"/>
  <c r="B651" i="1"/>
  <c r="I651" i="1" s="1"/>
  <c r="V651" i="1" s="1"/>
  <c r="X650" i="1"/>
  <c r="W650" i="1"/>
  <c r="G650" i="1"/>
  <c r="F650" i="1"/>
  <c r="E650" i="1"/>
  <c r="D650" i="1"/>
  <c r="C650" i="1"/>
  <c r="B650" i="1"/>
  <c r="X649" i="1"/>
  <c r="W649" i="1"/>
  <c r="M649" i="1"/>
  <c r="G649" i="1"/>
  <c r="F649" i="1"/>
  <c r="E649" i="1"/>
  <c r="D649" i="1"/>
  <c r="C649" i="1"/>
  <c r="B649" i="1"/>
  <c r="I649" i="1" s="1"/>
  <c r="V649" i="1" s="1"/>
  <c r="X648" i="1"/>
  <c r="W648" i="1"/>
  <c r="I648" i="1"/>
  <c r="V648" i="1" s="1"/>
  <c r="G648" i="1"/>
  <c r="F648" i="1"/>
  <c r="E648" i="1"/>
  <c r="D648" i="1"/>
  <c r="C648" i="1"/>
  <c r="B648" i="1"/>
  <c r="M648" i="1" s="1"/>
  <c r="X647" i="1"/>
  <c r="W647" i="1"/>
  <c r="V647" i="1"/>
  <c r="M647" i="1"/>
  <c r="G647" i="1"/>
  <c r="F647" i="1"/>
  <c r="E647" i="1"/>
  <c r="D647" i="1"/>
  <c r="C647" i="1"/>
  <c r="B647" i="1"/>
  <c r="I647" i="1" s="1"/>
  <c r="X646" i="1"/>
  <c r="W646" i="1"/>
  <c r="V646" i="1"/>
  <c r="M646" i="1"/>
  <c r="I646" i="1"/>
  <c r="G646" i="1"/>
  <c r="F646" i="1"/>
  <c r="E646" i="1"/>
  <c r="D646" i="1"/>
  <c r="C646" i="1"/>
  <c r="B646" i="1"/>
  <c r="X645" i="1"/>
  <c r="W645" i="1"/>
  <c r="M645" i="1"/>
  <c r="I645" i="1"/>
  <c r="V645" i="1" s="1"/>
  <c r="G645" i="1"/>
  <c r="F645" i="1"/>
  <c r="E645" i="1"/>
  <c r="D645" i="1"/>
  <c r="C645" i="1"/>
  <c r="B645" i="1"/>
  <c r="X644" i="1"/>
  <c r="W644" i="1"/>
  <c r="V644" i="1"/>
  <c r="I644" i="1"/>
  <c r="G644" i="1"/>
  <c r="F644" i="1"/>
  <c r="E644" i="1"/>
  <c r="D644" i="1"/>
  <c r="C644" i="1"/>
  <c r="B644" i="1"/>
  <c r="M644" i="1" s="1"/>
  <c r="X643" i="1"/>
  <c r="W643" i="1"/>
  <c r="G643" i="1"/>
  <c r="F643" i="1"/>
  <c r="E643" i="1"/>
  <c r="D643" i="1"/>
  <c r="C643" i="1"/>
  <c r="B643" i="1"/>
  <c r="I643" i="1" s="1"/>
  <c r="V643" i="1" s="1"/>
  <c r="X642" i="1"/>
  <c r="W642" i="1"/>
  <c r="I642" i="1"/>
  <c r="V642" i="1" s="1"/>
  <c r="G642" i="1"/>
  <c r="F642" i="1"/>
  <c r="E642" i="1"/>
  <c r="D642" i="1"/>
  <c r="C642" i="1"/>
  <c r="B642" i="1"/>
  <c r="M642" i="1" s="1"/>
  <c r="X641" i="1"/>
  <c r="W641" i="1"/>
  <c r="M641" i="1"/>
  <c r="I641" i="1"/>
  <c r="V641" i="1" s="1"/>
  <c r="G641" i="1"/>
  <c r="F641" i="1"/>
  <c r="E641" i="1"/>
  <c r="D641" i="1"/>
  <c r="C641" i="1"/>
  <c r="B641" i="1"/>
  <c r="X640" i="1"/>
  <c r="W640" i="1"/>
  <c r="V640" i="1"/>
  <c r="I640" i="1"/>
  <c r="G640" i="1"/>
  <c r="F640" i="1"/>
  <c r="E640" i="1"/>
  <c r="D640" i="1"/>
  <c r="C640" i="1"/>
  <c r="B640" i="1"/>
  <c r="M640" i="1" s="1"/>
  <c r="X639" i="1"/>
  <c r="W639" i="1"/>
  <c r="G639" i="1"/>
  <c r="F639" i="1"/>
  <c r="E639" i="1"/>
  <c r="D639" i="1"/>
  <c r="C639" i="1"/>
  <c r="B639" i="1"/>
  <c r="X638" i="1"/>
  <c r="W638" i="1"/>
  <c r="M638" i="1"/>
  <c r="I638" i="1"/>
  <c r="V638" i="1" s="1"/>
  <c r="G638" i="1"/>
  <c r="F638" i="1"/>
  <c r="E638" i="1"/>
  <c r="D638" i="1"/>
  <c r="C638" i="1"/>
  <c r="B638" i="1"/>
  <c r="X637" i="1"/>
  <c r="W637" i="1"/>
  <c r="M637" i="1"/>
  <c r="I637" i="1"/>
  <c r="V637" i="1" s="1"/>
  <c r="G637" i="1"/>
  <c r="F637" i="1"/>
  <c r="E637" i="1"/>
  <c r="D637" i="1"/>
  <c r="C637" i="1"/>
  <c r="B637" i="1"/>
  <c r="X636" i="1"/>
  <c r="W636" i="1"/>
  <c r="G636" i="1"/>
  <c r="F636" i="1"/>
  <c r="E636" i="1"/>
  <c r="D636" i="1"/>
  <c r="C636" i="1"/>
  <c r="B636" i="1"/>
  <c r="X635" i="1"/>
  <c r="W635" i="1"/>
  <c r="G635" i="1"/>
  <c r="F635" i="1"/>
  <c r="E635" i="1"/>
  <c r="D635" i="1"/>
  <c r="C635" i="1"/>
  <c r="B635" i="1"/>
  <c r="X634" i="1"/>
  <c r="W634" i="1"/>
  <c r="G634" i="1"/>
  <c r="F634" i="1"/>
  <c r="E634" i="1"/>
  <c r="D634" i="1"/>
  <c r="C634" i="1"/>
  <c r="B634" i="1"/>
  <c r="X633" i="1"/>
  <c r="W633" i="1"/>
  <c r="V633" i="1"/>
  <c r="M633" i="1"/>
  <c r="I633" i="1"/>
  <c r="G633" i="1"/>
  <c r="F633" i="1"/>
  <c r="E633" i="1"/>
  <c r="D633" i="1"/>
  <c r="C633" i="1"/>
  <c r="B633" i="1"/>
  <c r="X632" i="1"/>
  <c r="W632" i="1"/>
  <c r="I632" i="1"/>
  <c r="V632" i="1" s="1"/>
  <c r="G632" i="1"/>
  <c r="F632" i="1"/>
  <c r="E632" i="1"/>
  <c r="D632" i="1"/>
  <c r="C632" i="1"/>
  <c r="B632" i="1"/>
  <c r="M632" i="1" s="1"/>
  <c r="X631" i="1"/>
  <c r="W631" i="1"/>
  <c r="M631" i="1"/>
  <c r="I631" i="1"/>
  <c r="V631" i="1" s="1"/>
  <c r="G631" i="1"/>
  <c r="F631" i="1"/>
  <c r="E631" i="1"/>
  <c r="D631" i="1"/>
  <c r="C631" i="1"/>
  <c r="B631" i="1"/>
  <c r="X630" i="1"/>
  <c r="W630" i="1"/>
  <c r="V630" i="1"/>
  <c r="G630" i="1"/>
  <c r="F630" i="1"/>
  <c r="E630" i="1"/>
  <c r="D630" i="1"/>
  <c r="C630" i="1"/>
  <c r="B630" i="1"/>
  <c r="I630" i="1" s="1"/>
  <c r="X629" i="1"/>
  <c r="W629" i="1"/>
  <c r="M629" i="1"/>
  <c r="I629" i="1"/>
  <c r="V629" i="1" s="1"/>
  <c r="G629" i="1"/>
  <c r="F629" i="1"/>
  <c r="E629" i="1"/>
  <c r="D629" i="1"/>
  <c r="C629" i="1"/>
  <c r="B629" i="1"/>
  <c r="X628" i="1"/>
  <c r="W628" i="1"/>
  <c r="I628" i="1"/>
  <c r="V628" i="1" s="1"/>
  <c r="G628" i="1"/>
  <c r="F628" i="1"/>
  <c r="E628" i="1"/>
  <c r="D628" i="1"/>
  <c r="C628" i="1"/>
  <c r="B628" i="1"/>
  <c r="M628" i="1" s="1"/>
  <c r="X627" i="1"/>
  <c r="W627" i="1"/>
  <c r="G627" i="1"/>
  <c r="F627" i="1"/>
  <c r="E627" i="1"/>
  <c r="D627" i="1"/>
  <c r="C627" i="1"/>
  <c r="B627" i="1"/>
  <c r="I627" i="1" s="1"/>
  <c r="V627" i="1" s="1"/>
  <c r="X626" i="1"/>
  <c r="W626" i="1"/>
  <c r="G626" i="1"/>
  <c r="F626" i="1"/>
  <c r="E626" i="1"/>
  <c r="D626" i="1"/>
  <c r="C626" i="1"/>
  <c r="B626" i="1"/>
  <c r="X625" i="1"/>
  <c r="W625" i="1"/>
  <c r="G625" i="1"/>
  <c r="F625" i="1"/>
  <c r="E625" i="1"/>
  <c r="D625" i="1"/>
  <c r="C625" i="1"/>
  <c r="B625" i="1"/>
  <c r="I625" i="1" s="1"/>
  <c r="V625" i="1" s="1"/>
  <c r="X624" i="1"/>
  <c r="W624" i="1"/>
  <c r="I624" i="1"/>
  <c r="V624" i="1" s="1"/>
  <c r="G624" i="1"/>
  <c r="F624" i="1"/>
  <c r="E624" i="1"/>
  <c r="D624" i="1"/>
  <c r="C624" i="1"/>
  <c r="B624" i="1"/>
  <c r="M624" i="1" s="1"/>
  <c r="X623" i="1"/>
  <c r="W623" i="1"/>
  <c r="V623" i="1"/>
  <c r="M623" i="1"/>
  <c r="G623" i="1"/>
  <c r="F623" i="1"/>
  <c r="E623" i="1"/>
  <c r="D623" i="1"/>
  <c r="C623" i="1"/>
  <c r="B623" i="1"/>
  <c r="I623" i="1" s="1"/>
  <c r="X622" i="1"/>
  <c r="W622" i="1"/>
  <c r="V622" i="1"/>
  <c r="M622" i="1"/>
  <c r="I622" i="1"/>
  <c r="G622" i="1"/>
  <c r="F622" i="1"/>
  <c r="E622" i="1"/>
  <c r="D622" i="1"/>
  <c r="C622" i="1"/>
  <c r="B622" i="1"/>
  <c r="X621" i="1"/>
  <c r="W621" i="1"/>
  <c r="M621" i="1"/>
  <c r="I621" i="1"/>
  <c r="V621" i="1" s="1"/>
  <c r="G621" i="1"/>
  <c r="F621" i="1"/>
  <c r="E621" i="1"/>
  <c r="D621" i="1"/>
  <c r="C621" i="1"/>
  <c r="B621" i="1"/>
  <c r="X620" i="1"/>
  <c r="W620" i="1"/>
  <c r="G620" i="1"/>
  <c r="F620" i="1"/>
  <c r="E620" i="1"/>
  <c r="D620" i="1"/>
  <c r="C620" i="1"/>
  <c r="B620" i="1"/>
  <c r="M620" i="1" s="1"/>
  <c r="X619" i="1"/>
  <c r="W619" i="1"/>
  <c r="G619" i="1"/>
  <c r="F619" i="1"/>
  <c r="E619" i="1"/>
  <c r="D619" i="1"/>
  <c r="C619" i="1"/>
  <c r="B619" i="1"/>
  <c r="I619" i="1" s="1"/>
  <c r="V619" i="1" s="1"/>
  <c r="X618" i="1"/>
  <c r="W618" i="1"/>
  <c r="I618" i="1"/>
  <c r="V618" i="1" s="1"/>
  <c r="G618" i="1"/>
  <c r="F618" i="1"/>
  <c r="E618" i="1"/>
  <c r="D618" i="1"/>
  <c r="C618" i="1"/>
  <c r="B618" i="1"/>
  <c r="M618" i="1" s="1"/>
  <c r="X617" i="1"/>
  <c r="W617" i="1"/>
  <c r="M617" i="1"/>
  <c r="I617" i="1"/>
  <c r="V617" i="1" s="1"/>
  <c r="G617" i="1"/>
  <c r="F617" i="1"/>
  <c r="E617" i="1"/>
  <c r="D617" i="1"/>
  <c r="C617" i="1"/>
  <c r="B617" i="1"/>
  <c r="X616" i="1"/>
  <c r="W616" i="1"/>
  <c r="G616" i="1"/>
  <c r="F616" i="1"/>
  <c r="E616" i="1"/>
  <c r="D616" i="1"/>
  <c r="C616" i="1"/>
  <c r="B616" i="1"/>
  <c r="M616" i="1" s="1"/>
  <c r="X615" i="1"/>
  <c r="W615" i="1"/>
  <c r="V615" i="1"/>
  <c r="G615" i="1"/>
  <c r="F615" i="1"/>
  <c r="E615" i="1"/>
  <c r="D615" i="1"/>
  <c r="C615" i="1"/>
  <c r="B615" i="1"/>
  <c r="I615" i="1" s="1"/>
  <c r="X614" i="1"/>
  <c r="W614" i="1"/>
  <c r="M614" i="1"/>
  <c r="I614" i="1"/>
  <c r="V614" i="1" s="1"/>
  <c r="G614" i="1"/>
  <c r="F614" i="1"/>
  <c r="E614" i="1"/>
  <c r="D614" i="1"/>
  <c r="C614" i="1"/>
  <c r="B614" i="1"/>
  <c r="X613" i="1"/>
  <c r="W613" i="1"/>
  <c r="M613" i="1"/>
  <c r="I613" i="1"/>
  <c r="V613" i="1" s="1"/>
  <c r="G613" i="1"/>
  <c r="F613" i="1"/>
  <c r="E613" i="1"/>
  <c r="D613" i="1"/>
  <c r="C613" i="1"/>
  <c r="B613" i="1"/>
  <c r="X612" i="1"/>
  <c r="W612" i="1"/>
  <c r="G612" i="1"/>
  <c r="F612" i="1"/>
  <c r="E612" i="1"/>
  <c r="D612" i="1"/>
  <c r="C612" i="1"/>
  <c r="B612" i="1"/>
  <c r="X611" i="1"/>
  <c r="W611" i="1"/>
  <c r="G611" i="1"/>
  <c r="F611" i="1"/>
  <c r="E611" i="1"/>
  <c r="D611" i="1"/>
  <c r="C611" i="1"/>
  <c r="B611" i="1"/>
  <c r="X610" i="1"/>
  <c r="W610" i="1"/>
  <c r="G610" i="1"/>
  <c r="F610" i="1"/>
  <c r="E610" i="1"/>
  <c r="D610" i="1"/>
  <c r="C610" i="1"/>
  <c r="B610" i="1"/>
  <c r="X609" i="1"/>
  <c r="W609" i="1"/>
  <c r="V609" i="1"/>
  <c r="M609" i="1"/>
  <c r="I609" i="1"/>
  <c r="G609" i="1"/>
  <c r="F609" i="1"/>
  <c r="E609" i="1"/>
  <c r="D609" i="1"/>
  <c r="C609" i="1"/>
  <c r="B609" i="1"/>
  <c r="X608" i="1"/>
  <c r="W608" i="1"/>
  <c r="G608" i="1"/>
  <c r="F608" i="1"/>
  <c r="E608" i="1"/>
  <c r="D608" i="1"/>
  <c r="C608" i="1"/>
  <c r="B608" i="1"/>
  <c r="M608" i="1" s="1"/>
  <c r="X607" i="1"/>
  <c r="W607" i="1"/>
  <c r="V607" i="1"/>
  <c r="M607" i="1"/>
  <c r="I607" i="1"/>
  <c r="G607" i="1"/>
  <c r="F607" i="1"/>
  <c r="E607" i="1"/>
  <c r="D607" i="1"/>
  <c r="C607" i="1"/>
  <c r="B607" i="1"/>
  <c r="X606" i="1"/>
  <c r="W606" i="1"/>
  <c r="M606" i="1"/>
  <c r="I606" i="1"/>
  <c r="V606" i="1" s="1"/>
  <c r="G606" i="1"/>
  <c r="F606" i="1"/>
  <c r="E606" i="1"/>
  <c r="D606" i="1"/>
  <c r="C606" i="1"/>
  <c r="B606" i="1"/>
  <c r="X605" i="1"/>
  <c r="W605" i="1"/>
  <c r="M605" i="1"/>
  <c r="I605" i="1"/>
  <c r="V605" i="1" s="1"/>
  <c r="G605" i="1"/>
  <c r="F605" i="1"/>
  <c r="E605" i="1"/>
  <c r="D605" i="1"/>
  <c r="C605" i="1"/>
  <c r="B605" i="1"/>
  <c r="X604" i="1"/>
  <c r="W604" i="1"/>
  <c r="G604" i="1"/>
  <c r="F604" i="1"/>
  <c r="E604" i="1"/>
  <c r="D604" i="1"/>
  <c r="C604" i="1"/>
  <c r="B604" i="1"/>
  <c r="M604" i="1" s="1"/>
  <c r="X603" i="1"/>
  <c r="W603" i="1"/>
  <c r="M603" i="1"/>
  <c r="G603" i="1"/>
  <c r="F603" i="1"/>
  <c r="E603" i="1"/>
  <c r="D603" i="1"/>
  <c r="C603" i="1"/>
  <c r="B603" i="1"/>
  <c r="I603" i="1" s="1"/>
  <c r="V603" i="1" s="1"/>
  <c r="X602" i="1"/>
  <c r="W602" i="1"/>
  <c r="G602" i="1"/>
  <c r="F602" i="1"/>
  <c r="E602" i="1"/>
  <c r="D602" i="1"/>
  <c r="C602" i="1"/>
  <c r="B602" i="1"/>
  <c r="X601" i="1"/>
  <c r="W601" i="1"/>
  <c r="G601" i="1"/>
  <c r="F601" i="1"/>
  <c r="E601" i="1"/>
  <c r="D601" i="1"/>
  <c r="C601" i="1"/>
  <c r="B601" i="1"/>
  <c r="I601" i="1" s="1"/>
  <c r="V601" i="1" s="1"/>
  <c r="X600" i="1"/>
  <c r="W600" i="1"/>
  <c r="V600" i="1"/>
  <c r="I600" i="1"/>
  <c r="G600" i="1"/>
  <c r="F600" i="1"/>
  <c r="E600" i="1"/>
  <c r="D600" i="1"/>
  <c r="C600" i="1"/>
  <c r="B600" i="1"/>
  <c r="M600" i="1" s="1"/>
  <c r="X599" i="1"/>
  <c r="W599" i="1"/>
  <c r="V599" i="1"/>
  <c r="M599" i="1"/>
  <c r="G599" i="1"/>
  <c r="F599" i="1"/>
  <c r="E599" i="1"/>
  <c r="D599" i="1"/>
  <c r="C599" i="1"/>
  <c r="B599" i="1"/>
  <c r="I599" i="1" s="1"/>
  <c r="X598" i="1"/>
  <c r="W598" i="1"/>
  <c r="M598" i="1"/>
  <c r="I598" i="1"/>
  <c r="V598" i="1" s="1"/>
  <c r="G598" i="1"/>
  <c r="F598" i="1"/>
  <c r="E598" i="1"/>
  <c r="D598" i="1"/>
  <c r="C598" i="1"/>
  <c r="B598" i="1"/>
  <c r="X597" i="1"/>
  <c r="W597" i="1"/>
  <c r="M597" i="1"/>
  <c r="I597" i="1"/>
  <c r="V597" i="1" s="1"/>
  <c r="G597" i="1"/>
  <c r="F597" i="1"/>
  <c r="E597" i="1"/>
  <c r="D597" i="1"/>
  <c r="C597" i="1"/>
  <c r="B597" i="1"/>
  <c r="W596" i="1"/>
  <c r="V596" i="1"/>
  <c r="M596" i="1"/>
  <c r="L596" i="1"/>
  <c r="X596" i="1" s="1"/>
  <c r="I596" i="1"/>
  <c r="G596" i="1"/>
  <c r="F596" i="1"/>
  <c r="E596" i="1"/>
  <c r="D596" i="1"/>
  <c r="C596" i="1"/>
  <c r="B596" i="1"/>
  <c r="W595" i="1"/>
  <c r="M595" i="1"/>
  <c r="L595" i="1"/>
  <c r="X595" i="1" s="1"/>
  <c r="I595" i="1"/>
  <c r="V595" i="1" s="1"/>
  <c r="G595" i="1"/>
  <c r="F595" i="1"/>
  <c r="E595" i="1"/>
  <c r="D595" i="1"/>
  <c r="C595" i="1"/>
  <c r="B595" i="1"/>
  <c r="W594" i="1"/>
  <c r="M594" i="1"/>
  <c r="L594" i="1"/>
  <c r="X594" i="1" s="1"/>
  <c r="I594" i="1"/>
  <c r="V594" i="1" s="1"/>
  <c r="G594" i="1"/>
  <c r="F594" i="1"/>
  <c r="E594" i="1"/>
  <c r="D594" i="1"/>
  <c r="C594" i="1"/>
  <c r="B594" i="1"/>
  <c r="W593" i="1"/>
  <c r="M593" i="1"/>
  <c r="L593" i="1"/>
  <c r="X593" i="1" s="1"/>
  <c r="I593" i="1"/>
  <c r="V593" i="1" s="1"/>
  <c r="G593" i="1"/>
  <c r="F593" i="1"/>
  <c r="E593" i="1"/>
  <c r="D593" i="1"/>
  <c r="C593" i="1"/>
  <c r="B593" i="1"/>
  <c r="W592" i="1"/>
  <c r="V592" i="1"/>
  <c r="M592" i="1"/>
  <c r="L592" i="1"/>
  <c r="X592" i="1" s="1"/>
  <c r="I592" i="1"/>
  <c r="G592" i="1"/>
  <c r="F592" i="1"/>
  <c r="E592" i="1"/>
  <c r="D592" i="1"/>
  <c r="C592" i="1"/>
  <c r="B592" i="1"/>
  <c r="W591" i="1"/>
  <c r="M591" i="1"/>
  <c r="L591" i="1"/>
  <c r="X591" i="1" s="1"/>
  <c r="I591" i="1"/>
  <c r="V591" i="1" s="1"/>
  <c r="G591" i="1"/>
  <c r="F591" i="1"/>
  <c r="E591" i="1"/>
  <c r="D591" i="1"/>
  <c r="C591" i="1"/>
  <c r="B591" i="1"/>
  <c r="W590" i="1"/>
  <c r="V590" i="1"/>
  <c r="M590" i="1"/>
  <c r="L590" i="1"/>
  <c r="X590" i="1" s="1"/>
  <c r="I590" i="1"/>
  <c r="G590" i="1"/>
  <c r="F590" i="1"/>
  <c r="E590" i="1"/>
  <c r="D590" i="1"/>
  <c r="C590" i="1"/>
  <c r="B590" i="1"/>
  <c r="W589" i="1"/>
  <c r="M589" i="1"/>
  <c r="L589" i="1"/>
  <c r="X589" i="1" s="1"/>
  <c r="I589" i="1"/>
  <c r="V589" i="1" s="1"/>
  <c r="G589" i="1"/>
  <c r="F589" i="1"/>
  <c r="E589" i="1"/>
  <c r="D589" i="1"/>
  <c r="C589" i="1"/>
  <c r="B589" i="1"/>
  <c r="X588" i="1"/>
  <c r="W588" i="1"/>
  <c r="V588" i="1"/>
  <c r="U588" i="1"/>
  <c r="G588" i="1"/>
  <c r="F588" i="1"/>
  <c r="E588" i="1"/>
  <c r="D588" i="1"/>
  <c r="C588" i="1"/>
  <c r="B588" i="1"/>
  <c r="M588" i="1" s="1"/>
  <c r="X587" i="1"/>
  <c r="W587" i="1"/>
  <c r="V587" i="1"/>
  <c r="U587" i="1"/>
  <c r="G587" i="1"/>
  <c r="F587" i="1"/>
  <c r="E587" i="1"/>
  <c r="D587" i="1"/>
  <c r="C587" i="1"/>
  <c r="B587" i="1"/>
  <c r="M587" i="1" s="1"/>
  <c r="X586" i="1"/>
  <c r="W586" i="1"/>
  <c r="V586" i="1"/>
  <c r="U586" i="1"/>
  <c r="G586" i="1"/>
  <c r="F586" i="1"/>
  <c r="E586" i="1"/>
  <c r="D586" i="1"/>
  <c r="C586" i="1"/>
  <c r="B586" i="1"/>
  <c r="M586" i="1" s="1"/>
  <c r="X585" i="1"/>
  <c r="W585" i="1"/>
  <c r="V585" i="1"/>
  <c r="U585" i="1"/>
  <c r="M585" i="1"/>
  <c r="G585" i="1"/>
  <c r="F585" i="1"/>
  <c r="E585" i="1"/>
  <c r="D585" i="1"/>
  <c r="C585" i="1"/>
  <c r="B585" i="1"/>
  <c r="X584" i="1"/>
  <c r="W584" i="1"/>
  <c r="V584" i="1"/>
  <c r="U584" i="1"/>
  <c r="G584" i="1"/>
  <c r="F584" i="1"/>
  <c r="E584" i="1"/>
  <c r="D584" i="1"/>
  <c r="C584" i="1"/>
  <c r="B584" i="1"/>
  <c r="M584" i="1" s="1"/>
  <c r="X583" i="1"/>
  <c r="W583" i="1"/>
  <c r="V583" i="1"/>
  <c r="U583" i="1"/>
  <c r="G583" i="1"/>
  <c r="F583" i="1"/>
  <c r="E583" i="1"/>
  <c r="D583" i="1"/>
  <c r="C583" i="1"/>
  <c r="B583" i="1"/>
  <c r="M583" i="1" s="1"/>
  <c r="X582" i="1"/>
  <c r="W582" i="1"/>
  <c r="V582" i="1"/>
  <c r="U582" i="1"/>
  <c r="M582" i="1"/>
  <c r="G582" i="1"/>
  <c r="F582" i="1"/>
  <c r="E582" i="1"/>
  <c r="D582" i="1"/>
  <c r="C582" i="1"/>
  <c r="B582" i="1"/>
  <c r="X581" i="1"/>
  <c r="W581" i="1"/>
  <c r="V581" i="1"/>
  <c r="U581" i="1"/>
  <c r="G581" i="1"/>
  <c r="F581" i="1"/>
  <c r="E581" i="1"/>
  <c r="D581" i="1"/>
  <c r="C581" i="1"/>
  <c r="B581" i="1"/>
  <c r="M581" i="1" s="1"/>
  <c r="X580" i="1"/>
  <c r="W580" i="1"/>
  <c r="V580" i="1"/>
  <c r="U580" i="1"/>
  <c r="M580" i="1"/>
  <c r="G580" i="1"/>
  <c r="F580" i="1"/>
  <c r="E580" i="1"/>
  <c r="D580" i="1"/>
  <c r="C580" i="1"/>
  <c r="B580" i="1"/>
  <c r="X579" i="1"/>
  <c r="W579" i="1"/>
  <c r="V579" i="1"/>
  <c r="U579" i="1"/>
  <c r="G579" i="1"/>
  <c r="F579" i="1"/>
  <c r="E579" i="1"/>
  <c r="D579" i="1"/>
  <c r="C579" i="1"/>
  <c r="B579" i="1"/>
  <c r="M579" i="1" s="1"/>
  <c r="X578" i="1"/>
  <c r="W578" i="1"/>
  <c r="V578" i="1"/>
  <c r="U578" i="1"/>
  <c r="M578" i="1"/>
  <c r="G578" i="1"/>
  <c r="F578" i="1"/>
  <c r="E578" i="1"/>
  <c r="D578" i="1"/>
  <c r="C578" i="1"/>
  <c r="B578" i="1"/>
  <c r="X577" i="1"/>
  <c r="W577" i="1"/>
  <c r="V577" i="1"/>
  <c r="U577" i="1"/>
  <c r="M577" i="1"/>
  <c r="G577" i="1"/>
  <c r="F577" i="1"/>
  <c r="E577" i="1"/>
  <c r="D577" i="1"/>
  <c r="C577" i="1"/>
  <c r="B577" i="1"/>
  <c r="X576" i="1"/>
  <c r="W576" i="1"/>
  <c r="V576" i="1"/>
  <c r="U576" i="1"/>
  <c r="M576" i="1"/>
  <c r="G576" i="1"/>
  <c r="F576" i="1"/>
  <c r="E576" i="1"/>
  <c r="D576" i="1"/>
  <c r="C576" i="1"/>
  <c r="B576" i="1"/>
  <c r="X575" i="1"/>
  <c r="W575" i="1"/>
  <c r="V575" i="1"/>
  <c r="U575" i="1"/>
  <c r="G575" i="1"/>
  <c r="F575" i="1"/>
  <c r="E575" i="1"/>
  <c r="D575" i="1"/>
  <c r="C575" i="1"/>
  <c r="B575" i="1"/>
  <c r="M575" i="1" s="1"/>
  <c r="X574" i="1"/>
  <c r="W574" i="1"/>
  <c r="V574" i="1"/>
  <c r="U574" i="1"/>
  <c r="G574" i="1"/>
  <c r="F574" i="1"/>
  <c r="E574" i="1"/>
  <c r="D574" i="1"/>
  <c r="C574" i="1"/>
  <c r="B574" i="1"/>
  <c r="M574" i="1" s="1"/>
  <c r="X573" i="1"/>
  <c r="W573" i="1"/>
  <c r="V573" i="1"/>
  <c r="U573" i="1"/>
  <c r="M573" i="1"/>
  <c r="G573" i="1"/>
  <c r="F573" i="1"/>
  <c r="E573" i="1"/>
  <c r="D573" i="1"/>
  <c r="C573" i="1"/>
  <c r="B573" i="1"/>
  <c r="X572" i="1"/>
  <c r="W572" i="1"/>
  <c r="V572" i="1"/>
  <c r="U572" i="1"/>
  <c r="G572" i="1"/>
  <c r="F572" i="1"/>
  <c r="E572" i="1"/>
  <c r="D572" i="1"/>
  <c r="C572" i="1"/>
  <c r="B572" i="1"/>
  <c r="M572" i="1" s="1"/>
  <c r="X571" i="1"/>
  <c r="W571" i="1"/>
  <c r="V571" i="1"/>
  <c r="U571" i="1"/>
  <c r="G571" i="1"/>
  <c r="F571" i="1"/>
  <c r="E571" i="1"/>
  <c r="D571" i="1"/>
  <c r="C571" i="1"/>
  <c r="B571" i="1"/>
  <c r="M571" i="1" s="1"/>
  <c r="X570" i="1"/>
  <c r="W570" i="1"/>
  <c r="V570" i="1"/>
  <c r="U570" i="1"/>
  <c r="M570" i="1"/>
  <c r="G570" i="1"/>
  <c r="F570" i="1"/>
  <c r="E570" i="1"/>
  <c r="D570" i="1"/>
  <c r="C570" i="1"/>
  <c r="B570" i="1"/>
  <c r="X569" i="1"/>
  <c r="W569" i="1"/>
  <c r="V569" i="1"/>
  <c r="U569" i="1"/>
  <c r="M569" i="1"/>
  <c r="G569" i="1"/>
  <c r="F569" i="1"/>
  <c r="E569" i="1"/>
  <c r="D569" i="1"/>
  <c r="C569" i="1"/>
  <c r="B569" i="1"/>
  <c r="X568" i="1"/>
  <c r="W568" i="1"/>
  <c r="V568" i="1"/>
  <c r="U568" i="1"/>
  <c r="M568" i="1"/>
  <c r="G568" i="1"/>
  <c r="F568" i="1"/>
  <c r="E568" i="1"/>
  <c r="D568" i="1"/>
  <c r="C568" i="1"/>
  <c r="B568" i="1"/>
  <c r="X567" i="1"/>
  <c r="W567" i="1"/>
  <c r="V567" i="1"/>
  <c r="U567" i="1"/>
  <c r="G567" i="1"/>
  <c r="F567" i="1"/>
  <c r="E567" i="1"/>
  <c r="D567" i="1"/>
  <c r="C567" i="1"/>
  <c r="B567" i="1"/>
  <c r="M567" i="1" s="1"/>
  <c r="X566" i="1"/>
  <c r="W566" i="1"/>
  <c r="V566" i="1"/>
  <c r="U566" i="1"/>
  <c r="M566" i="1"/>
  <c r="G566" i="1"/>
  <c r="F566" i="1"/>
  <c r="E566" i="1"/>
  <c r="D566" i="1"/>
  <c r="C566" i="1"/>
  <c r="B566" i="1"/>
  <c r="X565" i="1"/>
  <c r="W565" i="1"/>
  <c r="V565" i="1"/>
  <c r="U565" i="1"/>
  <c r="M565" i="1"/>
  <c r="G565" i="1"/>
  <c r="F565" i="1"/>
  <c r="E565" i="1"/>
  <c r="D565" i="1"/>
  <c r="C565" i="1"/>
  <c r="B565" i="1"/>
  <c r="X564" i="1"/>
  <c r="W564" i="1"/>
  <c r="V564" i="1"/>
  <c r="U564" i="1"/>
  <c r="G564" i="1"/>
  <c r="F564" i="1"/>
  <c r="E564" i="1"/>
  <c r="D564" i="1"/>
  <c r="C564" i="1"/>
  <c r="B564" i="1"/>
  <c r="M564" i="1" s="1"/>
  <c r="X563" i="1"/>
  <c r="W563" i="1"/>
  <c r="V563" i="1"/>
  <c r="U563" i="1"/>
  <c r="G563" i="1"/>
  <c r="F563" i="1"/>
  <c r="E563" i="1"/>
  <c r="D563" i="1"/>
  <c r="C563" i="1"/>
  <c r="B563" i="1"/>
  <c r="M563" i="1" s="1"/>
  <c r="X562" i="1"/>
  <c r="W562" i="1"/>
  <c r="V562" i="1"/>
  <c r="U562" i="1"/>
  <c r="G562" i="1"/>
  <c r="F562" i="1"/>
  <c r="E562" i="1"/>
  <c r="D562" i="1"/>
  <c r="C562" i="1"/>
  <c r="B562" i="1"/>
  <c r="M562" i="1" s="1"/>
  <c r="X561" i="1"/>
  <c r="W561" i="1"/>
  <c r="V561" i="1"/>
  <c r="U561" i="1"/>
  <c r="M561" i="1"/>
  <c r="G561" i="1"/>
  <c r="F561" i="1"/>
  <c r="E561" i="1"/>
  <c r="D561" i="1"/>
  <c r="C561" i="1"/>
  <c r="B561" i="1"/>
  <c r="X560" i="1"/>
  <c r="W560" i="1"/>
  <c r="V560" i="1"/>
  <c r="U560" i="1"/>
  <c r="M560" i="1"/>
  <c r="G560" i="1"/>
  <c r="F560" i="1"/>
  <c r="E560" i="1"/>
  <c r="D560" i="1"/>
  <c r="C560" i="1"/>
  <c r="B560" i="1"/>
  <c r="X559" i="1"/>
  <c r="W559" i="1"/>
  <c r="V559" i="1"/>
  <c r="U559" i="1"/>
  <c r="G559" i="1"/>
  <c r="F559" i="1"/>
  <c r="E559" i="1"/>
  <c r="D559" i="1"/>
  <c r="C559" i="1"/>
  <c r="B559" i="1"/>
  <c r="M559" i="1" s="1"/>
  <c r="X558" i="1"/>
  <c r="W558" i="1"/>
  <c r="V558" i="1"/>
  <c r="U558" i="1"/>
  <c r="M558" i="1"/>
  <c r="G558" i="1"/>
  <c r="F558" i="1"/>
  <c r="E558" i="1"/>
  <c r="D558" i="1"/>
  <c r="C558" i="1"/>
  <c r="B558" i="1"/>
  <c r="X557" i="1"/>
  <c r="W557" i="1"/>
  <c r="V557" i="1"/>
  <c r="U557" i="1"/>
  <c r="M557" i="1"/>
  <c r="G557" i="1"/>
  <c r="F557" i="1"/>
  <c r="E557" i="1"/>
  <c r="D557" i="1"/>
  <c r="C557" i="1"/>
  <c r="B557" i="1"/>
  <c r="X556" i="1"/>
  <c r="W556" i="1"/>
  <c r="V556" i="1"/>
  <c r="U556" i="1"/>
  <c r="G556" i="1"/>
  <c r="F556" i="1"/>
  <c r="E556" i="1"/>
  <c r="D556" i="1"/>
  <c r="C556" i="1"/>
  <c r="B556" i="1"/>
  <c r="M556" i="1" s="1"/>
  <c r="X555" i="1"/>
  <c r="W555" i="1"/>
  <c r="V555" i="1"/>
  <c r="U555" i="1"/>
  <c r="G555" i="1"/>
  <c r="F555" i="1"/>
  <c r="E555" i="1"/>
  <c r="D555" i="1"/>
  <c r="C555" i="1"/>
  <c r="B555" i="1"/>
  <c r="M555" i="1" s="1"/>
  <c r="X554" i="1"/>
  <c r="W554" i="1"/>
  <c r="V554" i="1"/>
  <c r="U554" i="1"/>
  <c r="G554" i="1"/>
  <c r="F554" i="1"/>
  <c r="E554" i="1"/>
  <c r="D554" i="1"/>
  <c r="C554" i="1"/>
  <c r="B554" i="1"/>
  <c r="M554" i="1" s="1"/>
  <c r="X553" i="1"/>
  <c r="W553" i="1"/>
  <c r="V553" i="1"/>
  <c r="U553" i="1"/>
  <c r="M553" i="1"/>
  <c r="G553" i="1"/>
  <c r="F553" i="1"/>
  <c r="E553" i="1"/>
  <c r="D553" i="1"/>
  <c r="C553" i="1"/>
  <c r="B553" i="1"/>
  <c r="X552" i="1"/>
  <c r="W552" i="1"/>
  <c r="V552" i="1"/>
  <c r="U552" i="1"/>
  <c r="M552" i="1"/>
  <c r="G552" i="1"/>
  <c r="F552" i="1"/>
  <c r="E552" i="1"/>
  <c r="D552" i="1"/>
  <c r="C552" i="1"/>
  <c r="B552" i="1"/>
  <c r="X551" i="1"/>
  <c r="W551" i="1"/>
  <c r="V551" i="1"/>
  <c r="U551" i="1"/>
  <c r="M551" i="1"/>
  <c r="G551" i="1"/>
  <c r="F551" i="1"/>
  <c r="E551" i="1"/>
  <c r="D551" i="1"/>
  <c r="C551" i="1"/>
  <c r="B551" i="1"/>
  <c r="X550" i="1"/>
  <c r="W550" i="1"/>
  <c r="V550" i="1"/>
  <c r="U550" i="1"/>
  <c r="M550" i="1"/>
  <c r="G550" i="1"/>
  <c r="F550" i="1"/>
  <c r="E550" i="1"/>
  <c r="D550" i="1"/>
  <c r="C550" i="1"/>
  <c r="B550" i="1"/>
  <c r="X549" i="1"/>
  <c r="W549" i="1"/>
  <c r="V549" i="1"/>
  <c r="U549" i="1"/>
  <c r="M549" i="1"/>
  <c r="G549" i="1"/>
  <c r="F549" i="1"/>
  <c r="E549" i="1"/>
  <c r="D549" i="1"/>
  <c r="C549" i="1"/>
  <c r="B549" i="1"/>
  <c r="X548" i="1"/>
  <c r="W548" i="1"/>
  <c r="V548" i="1"/>
  <c r="U548" i="1"/>
  <c r="M548" i="1"/>
  <c r="G548" i="1"/>
  <c r="F548" i="1"/>
  <c r="E548" i="1"/>
  <c r="D548" i="1"/>
  <c r="C548" i="1"/>
  <c r="B548" i="1"/>
  <c r="X547" i="1"/>
  <c r="W547" i="1"/>
  <c r="V547" i="1"/>
  <c r="U547" i="1"/>
  <c r="G547" i="1"/>
  <c r="F547" i="1"/>
  <c r="E547" i="1"/>
  <c r="D547" i="1"/>
  <c r="C547" i="1"/>
  <c r="B547" i="1"/>
  <c r="M547" i="1" s="1"/>
  <c r="X546" i="1"/>
  <c r="W546" i="1"/>
  <c r="V546" i="1"/>
  <c r="U546" i="1"/>
  <c r="G546" i="1"/>
  <c r="F546" i="1"/>
  <c r="E546" i="1"/>
  <c r="D546" i="1"/>
  <c r="C546" i="1"/>
  <c r="B546" i="1"/>
  <c r="M546" i="1" s="1"/>
  <c r="X545" i="1"/>
  <c r="W545" i="1"/>
  <c r="V545" i="1"/>
  <c r="U545" i="1"/>
  <c r="G545" i="1"/>
  <c r="F545" i="1"/>
  <c r="E545" i="1"/>
  <c r="D545" i="1"/>
  <c r="C545" i="1"/>
  <c r="B545" i="1"/>
  <c r="M545" i="1" s="1"/>
  <c r="X544" i="1"/>
  <c r="W544" i="1"/>
  <c r="V544" i="1"/>
  <c r="U544" i="1"/>
  <c r="G544" i="1"/>
  <c r="F544" i="1"/>
  <c r="E544" i="1"/>
  <c r="D544" i="1"/>
  <c r="C544" i="1"/>
  <c r="B544" i="1"/>
  <c r="M544" i="1" s="1"/>
  <c r="X543" i="1"/>
  <c r="W543" i="1"/>
  <c r="V543" i="1"/>
  <c r="U543" i="1"/>
  <c r="G543" i="1"/>
  <c r="F543" i="1"/>
  <c r="E543" i="1"/>
  <c r="D543" i="1"/>
  <c r="C543" i="1"/>
  <c r="B543" i="1"/>
  <c r="M543" i="1" s="1"/>
  <c r="X542" i="1"/>
  <c r="W542" i="1"/>
  <c r="V542" i="1"/>
  <c r="U542" i="1"/>
  <c r="M542" i="1"/>
  <c r="G542" i="1"/>
  <c r="F542" i="1"/>
  <c r="E542" i="1"/>
  <c r="D542" i="1"/>
  <c r="C542" i="1"/>
  <c r="B542" i="1"/>
  <c r="X541" i="1"/>
  <c r="W541" i="1"/>
  <c r="V541" i="1"/>
  <c r="U541" i="1"/>
  <c r="M541" i="1"/>
  <c r="G541" i="1"/>
  <c r="F541" i="1"/>
  <c r="E541" i="1"/>
  <c r="D541" i="1"/>
  <c r="C541" i="1"/>
  <c r="B541" i="1"/>
  <c r="X540" i="1"/>
  <c r="W540" i="1"/>
  <c r="V540" i="1"/>
  <c r="U540" i="1"/>
  <c r="M540" i="1"/>
  <c r="G540" i="1"/>
  <c r="F540" i="1"/>
  <c r="E540" i="1"/>
  <c r="D540" i="1"/>
  <c r="C540" i="1"/>
  <c r="B540" i="1"/>
  <c r="X539" i="1"/>
  <c r="W539" i="1"/>
  <c r="V539" i="1"/>
  <c r="U539" i="1"/>
  <c r="M539" i="1"/>
  <c r="G539" i="1"/>
  <c r="F539" i="1"/>
  <c r="E539" i="1"/>
  <c r="D539" i="1"/>
  <c r="C539" i="1"/>
  <c r="B539" i="1"/>
  <c r="X538" i="1"/>
  <c r="W538" i="1"/>
  <c r="V538" i="1"/>
  <c r="U538" i="1"/>
  <c r="M538" i="1"/>
  <c r="G538" i="1"/>
  <c r="F538" i="1"/>
  <c r="E538" i="1"/>
  <c r="D538" i="1"/>
  <c r="C538" i="1"/>
  <c r="B538" i="1"/>
  <c r="X537" i="1"/>
  <c r="W537" i="1"/>
  <c r="V537" i="1"/>
  <c r="U537" i="1"/>
  <c r="M537" i="1"/>
  <c r="G537" i="1"/>
  <c r="F537" i="1"/>
  <c r="E537" i="1"/>
  <c r="D537" i="1"/>
  <c r="C537" i="1"/>
  <c r="B537" i="1"/>
  <c r="X536" i="1"/>
  <c r="W536" i="1"/>
  <c r="V536" i="1"/>
  <c r="U536" i="1"/>
  <c r="G536" i="1"/>
  <c r="F536" i="1"/>
  <c r="E536" i="1"/>
  <c r="D536" i="1"/>
  <c r="C536" i="1"/>
  <c r="B536" i="1"/>
  <c r="M536" i="1" s="1"/>
  <c r="X535" i="1"/>
  <c r="W535" i="1"/>
  <c r="V535" i="1"/>
  <c r="U535" i="1"/>
  <c r="G535" i="1"/>
  <c r="F535" i="1"/>
  <c r="E535" i="1"/>
  <c r="D535" i="1"/>
  <c r="C535" i="1"/>
  <c r="B535" i="1"/>
  <c r="M535" i="1" s="1"/>
  <c r="X534" i="1"/>
  <c r="W534" i="1"/>
  <c r="V534" i="1"/>
  <c r="U534" i="1"/>
  <c r="G534" i="1"/>
  <c r="F534" i="1"/>
  <c r="E534" i="1"/>
  <c r="D534" i="1"/>
  <c r="C534" i="1"/>
  <c r="B534" i="1"/>
  <c r="M534" i="1" s="1"/>
  <c r="X533" i="1"/>
  <c r="W533" i="1"/>
  <c r="V533" i="1"/>
  <c r="U533" i="1"/>
  <c r="G533" i="1"/>
  <c r="F533" i="1"/>
  <c r="E533" i="1"/>
  <c r="D533" i="1"/>
  <c r="C533" i="1"/>
  <c r="B533" i="1"/>
  <c r="M533" i="1" s="1"/>
  <c r="X532" i="1"/>
  <c r="W532" i="1"/>
  <c r="V532" i="1"/>
  <c r="U532" i="1"/>
  <c r="G532" i="1"/>
  <c r="F532" i="1"/>
  <c r="E532" i="1"/>
  <c r="D532" i="1"/>
  <c r="C532" i="1"/>
  <c r="B532" i="1"/>
  <c r="M532" i="1" s="1"/>
  <c r="X531" i="1"/>
  <c r="W531" i="1"/>
  <c r="V531" i="1"/>
  <c r="U531" i="1"/>
  <c r="G531" i="1"/>
  <c r="F531" i="1"/>
  <c r="E531" i="1"/>
  <c r="D531" i="1"/>
  <c r="C531" i="1"/>
  <c r="B531" i="1"/>
  <c r="M531" i="1" s="1"/>
  <c r="X530" i="1"/>
  <c r="W530" i="1"/>
  <c r="V530" i="1"/>
  <c r="U530" i="1"/>
  <c r="M530" i="1"/>
  <c r="G530" i="1"/>
  <c r="F530" i="1"/>
  <c r="E530" i="1"/>
  <c r="D530" i="1"/>
  <c r="C530" i="1"/>
  <c r="B530" i="1"/>
  <c r="X529" i="1"/>
  <c r="W529" i="1"/>
  <c r="V529" i="1"/>
  <c r="U529" i="1"/>
  <c r="M529" i="1"/>
  <c r="G529" i="1"/>
  <c r="F529" i="1"/>
  <c r="E529" i="1"/>
  <c r="D529" i="1"/>
  <c r="C529" i="1"/>
  <c r="B529" i="1"/>
  <c r="X528" i="1"/>
  <c r="W528" i="1"/>
  <c r="V528" i="1"/>
  <c r="U528" i="1"/>
  <c r="M528" i="1"/>
  <c r="G528" i="1"/>
  <c r="F528" i="1"/>
  <c r="E528" i="1"/>
  <c r="D528" i="1"/>
  <c r="C528" i="1"/>
  <c r="B528" i="1"/>
  <c r="X527" i="1"/>
  <c r="W527" i="1"/>
  <c r="V527" i="1"/>
  <c r="U527" i="1"/>
  <c r="M527" i="1"/>
  <c r="G527" i="1"/>
  <c r="F527" i="1"/>
  <c r="E527" i="1"/>
  <c r="D527" i="1"/>
  <c r="C527" i="1"/>
  <c r="B527" i="1"/>
  <c r="X526" i="1"/>
  <c r="W526" i="1"/>
  <c r="V526" i="1"/>
  <c r="U526" i="1"/>
  <c r="M526" i="1"/>
  <c r="G526" i="1"/>
  <c r="F526" i="1"/>
  <c r="E526" i="1"/>
  <c r="D526" i="1"/>
  <c r="C526" i="1"/>
  <c r="B526" i="1"/>
  <c r="X525" i="1"/>
  <c r="W525" i="1"/>
  <c r="V525" i="1"/>
  <c r="U525" i="1"/>
  <c r="M525" i="1"/>
  <c r="G525" i="1"/>
  <c r="F525" i="1"/>
  <c r="E525" i="1"/>
  <c r="D525" i="1"/>
  <c r="C525" i="1"/>
  <c r="B525" i="1"/>
  <c r="X524" i="1"/>
  <c r="W524" i="1"/>
  <c r="V524" i="1"/>
  <c r="U524" i="1"/>
  <c r="G524" i="1"/>
  <c r="F524" i="1"/>
  <c r="E524" i="1"/>
  <c r="D524" i="1"/>
  <c r="C524" i="1"/>
  <c r="B524" i="1"/>
  <c r="M524" i="1" s="1"/>
  <c r="X523" i="1"/>
  <c r="W523" i="1"/>
  <c r="V523" i="1"/>
  <c r="U523" i="1"/>
  <c r="G523" i="1"/>
  <c r="F523" i="1"/>
  <c r="E523" i="1"/>
  <c r="D523" i="1"/>
  <c r="C523" i="1"/>
  <c r="B523" i="1"/>
  <c r="M523" i="1" s="1"/>
  <c r="X522" i="1"/>
  <c r="W522" i="1"/>
  <c r="V522" i="1"/>
  <c r="U522" i="1"/>
  <c r="G522" i="1"/>
  <c r="F522" i="1"/>
  <c r="E522" i="1"/>
  <c r="D522" i="1"/>
  <c r="C522" i="1"/>
  <c r="B522" i="1"/>
  <c r="M522" i="1" s="1"/>
  <c r="X521" i="1"/>
  <c r="W521" i="1"/>
  <c r="V521" i="1"/>
  <c r="U521" i="1"/>
  <c r="G521" i="1"/>
  <c r="F521" i="1"/>
  <c r="E521" i="1"/>
  <c r="D521" i="1"/>
  <c r="C521" i="1"/>
  <c r="B521" i="1"/>
  <c r="M521" i="1" s="1"/>
  <c r="X520" i="1"/>
  <c r="W520" i="1"/>
  <c r="V520" i="1"/>
  <c r="U520" i="1"/>
  <c r="M520" i="1"/>
  <c r="G520" i="1"/>
  <c r="F520" i="1"/>
  <c r="E520" i="1"/>
  <c r="D520" i="1"/>
  <c r="C520" i="1"/>
  <c r="B520" i="1"/>
  <c r="X519" i="1"/>
  <c r="W519" i="1"/>
  <c r="V519" i="1"/>
  <c r="U519" i="1"/>
  <c r="G519" i="1"/>
  <c r="F519" i="1"/>
  <c r="E519" i="1"/>
  <c r="D519" i="1"/>
  <c r="C519" i="1"/>
  <c r="B519" i="1"/>
  <c r="M519" i="1" s="1"/>
  <c r="X518" i="1"/>
  <c r="W518" i="1"/>
  <c r="V518" i="1"/>
  <c r="U518" i="1"/>
  <c r="M518" i="1"/>
  <c r="G518" i="1"/>
  <c r="F518" i="1"/>
  <c r="E518" i="1"/>
  <c r="D518" i="1"/>
  <c r="C518" i="1"/>
  <c r="B518" i="1"/>
  <c r="X517" i="1"/>
  <c r="W517" i="1"/>
  <c r="V517" i="1"/>
  <c r="U517" i="1"/>
  <c r="M517" i="1"/>
  <c r="G517" i="1"/>
  <c r="F517" i="1"/>
  <c r="E517" i="1"/>
  <c r="D517" i="1"/>
  <c r="C517" i="1"/>
  <c r="B517" i="1"/>
  <c r="X516" i="1"/>
  <c r="W516" i="1"/>
  <c r="V516" i="1"/>
  <c r="U516" i="1"/>
  <c r="M516" i="1"/>
  <c r="G516" i="1"/>
  <c r="F516" i="1"/>
  <c r="E516" i="1"/>
  <c r="D516" i="1"/>
  <c r="C516" i="1"/>
  <c r="B516" i="1"/>
  <c r="X515" i="1"/>
  <c r="W515" i="1"/>
  <c r="V515" i="1"/>
  <c r="U515" i="1"/>
  <c r="G515" i="1"/>
  <c r="F515" i="1"/>
  <c r="E515" i="1"/>
  <c r="D515" i="1"/>
  <c r="C515" i="1"/>
  <c r="B515" i="1"/>
  <c r="M515" i="1" s="1"/>
  <c r="X514" i="1"/>
  <c r="W514" i="1"/>
  <c r="V514" i="1"/>
  <c r="U514" i="1"/>
  <c r="M514" i="1"/>
  <c r="G514" i="1"/>
  <c r="F514" i="1"/>
  <c r="E514" i="1"/>
  <c r="D514" i="1"/>
  <c r="C514" i="1"/>
  <c r="B514" i="1"/>
  <c r="X513" i="1"/>
  <c r="W513" i="1"/>
  <c r="V513" i="1"/>
  <c r="U513" i="1"/>
  <c r="M513" i="1"/>
  <c r="G513" i="1"/>
  <c r="F513" i="1"/>
  <c r="E513" i="1"/>
  <c r="D513" i="1"/>
  <c r="C513" i="1"/>
  <c r="B513" i="1"/>
  <c r="X512" i="1"/>
  <c r="W512" i="1"/>
  <c r="V512" i="1"/>
  <c r="U512" i="1"/>
  <c r="G512" i="1"/>
  <c r="F512" i="1"/>
  <c r="E512" i="1"/>
  <c r="D512" i="1"/>
  <c r="C512" i="1"/>
  <c r="B512" i="1"/>
  <c r="M512" i="1" s="1"/>
  <c r="X511" i="1"/>
  <c r="W511" i="1"/>
  <c r="V511" i="1"/>
  <c r="U511" i="1"/>
  <c r="G511" i="1"/>
  <c r="F511" i="1"/>
  <c r="E511" i="1"/>
  <c r="D511" i="1"/>
  <c r="C511" i="1"/>
  <c r="B511" i="1"/>
  <c r="M511" i="1" s="1"/>
  <c r="X510" i="1"/>
  <c r="W510" i="1"/>
  <c r="V510" i="1"/>
  <c r="U510" i="1"/>
  <c r="M510" i="1"/>
  <c r="G510" i="1"/>
  <c r="F510" i="1"/>
  <c r="E510" i="1"/>
  <c r="D510" i="1"/>
  <c r="C510" i="1"/>
  <c r="B510" i="1"/>
  <c r="X509" i="1"/>
  <c r="W509" i="1"/>
  <c r="V509" i="1"/>
  <c r="U509" i="1"/>
  <c r="G509" i="1"/>
  <c r="F509" i="1"/>
  <c r="E509" i="1"/>
  <c r="D509" i="1"/>
  <c r="C509" i="1"/>
  <c r="B509" i="1"/>
  <c r="M509" i="1" s="1"/>
  <c r="X508" i="1"/>
  <c r="W508" i="1"/>
  <c r="V508" i="1"/>
  <c r="U508" i="1"/>
  <c r="M508" i="1"/>
  <c r="G508" i="1"/>
  <c r="F508" i="1"/>
  <c r="E508" i="1"/>
  <c r="D508" i="1"/>
  <c r="C508" i="1"/>
  <c r="B508" i="1"/>
  <c r="X507" i="1"/>
  <c r="W507" i="1"/>
  <c r="V507" i="1"/>
  <c r="U507" i="1"/>
  <c r="G507" i="1"/>
  <c r="F507" i="1"/>
  <c r="E507" i="1"/>
  <c r="D507" i="1"/>
  <c r="C507" i="1"/>
  <c r="B507" i="1"/>
  <c r="M507" i="1" s="1"/>
  <c r="X506" i="1"/>
  <c r="W506" i="1"/>
  <c r="V506" i="1"/>
  <c r="U506" i="1"/>
  <c r="M506" i="1"/>
  <c r="G506" i="1"/>
  <c r="F506" i="1"/>
  <c r="E506" i="1"/>
  <c r="D506" i="1"/>
  <c r="C506" i="1"/>
  <c r="B506" i="1"/>
  <c r="X505" i="1"/>
  <c r="W505" i="1"/>
  <c r="V505" i="1"/>
  <c r="U505" i="1"/>
  <c r="M505" i="1"/>
  <c r="G505" i="1"/>
  <c r="F505" i="1"/>
  <c r="E505" i="1"/>
  <c r="D505" i="1"/>
  <c r="C505" i="1"/>
  <c r="B505" i="1"/>
  <c r="X504" i="1"/>
  <c r="W504" i="1"/>
  <c r="V504" i="1"/>
  <c r="U504" i="1"/>
  <c r="M504" i="1"/>
  <c r="G504" i="1"/>
  <c r="F504" i="1"/>
  <c r="E504" i="1"/>
  <c r="D504" i="1"/>
  <c r="C504" i="1"/>
  <c r="B504" i="1"/>
  <c r="X503" i="1"/>
  <c r="W503" i="1"/>
  <c r="V503" i="1"/>
  <c r="U503" i="1"/>
  <c r="G503" i="1"/>
  <c r="F503" i="1"/>
  <c r="E503" i="1"/>
  <c r="D503" i="1"/>
  <c r="C503" i="1"/>
  <c r="B503" i="1"/>
  <c r="M503" i="1" s="1"/>
  <c r="X502" i="1"/>
  <c r="W502" i="1"/>
  <c r="V502" i="1"/>
  <c r="U502" i="1"/>
  <c r="G502" i="1"/>
  <c r="F502" i="1"/>
  <c r="E502" i="1"/>
  <c r="D502" i="1"/>
  <c r="C502" i="1"/>
  <c r="B502" i="1"/>
  <c r="M502" i="1" s="1"/>
  <c r="X501" i="1"/>
  <c r="W501" i="1"/>
  <c r="V501" i="1"/>
  <c r="U501" i="1"/>
  <c r="M501" i="1"/>
  <c r="G501" i="1"/>
  <c r="F501" i="1"/>
  <c r="E501" i="1"/>
  <c r="D501" i="1"/>
  <c r="C501" i="1"/>
  <c r="B501" i="1"/>
  <c r="X500" i="1"/>
  <c r="W500" i="1"/>
  <c r="V500" i="1"/>
  <c r="U500" i="1"/>
  <c r="G500" i="1"/>
  <c r="F500" i="1"/>
  <c r="E500" i="1"/>
  <c r="D500" i="1"/>
  <c r="C500" i="1"/>
  <c r="B500" i="1"/>
  <c r="M500" i="1" s="1"/>
  <c r="X499" i="1"/>
  <c r="W499" i="1"/>
  <c r="V499" i="1"/>
  <c r="U499" i="1"/>
  <c r="G499" i="1"/>
  <c r="F499" i="1"/>
  <c r="E499" i="1"/>
  <c r="D499" i="1"/>
  <c r="C499" i="1"/>
  <c r="B499" i="1"/>
  <c r="M499" i="1" s="1"/>
  <c r="X498" i="1"/>
  <c r="W498" i="1"/>
  <c r="V498" i="1"/>
  <c r="U498" i="1"/>
  <c r="M498" i="1"/>
  <c r="G498" i="1"/>
  <c r="F498" i="1"/>
  <c r="E498" i="1"/>
  <c r="D498" i="1"/>
  <c r="C498" i="1"/>
  <c r="B498" i="1"/>
  <c r="X497" i="1"/>
  <c r="W497" i="1"/>
  <c r="V497" i="1"/>
  <c r="U497" i="1"/>
  <c r="M497" i="1"/>
  <c r="G497" i="1"/>
  <c r="F497" i="1"/>
  <c r="E497" i="1"/>
  <c r="D497" i="1"/>
  <c r="C497" i="1"/>
  <c r="B497" i="1"/>
  <c r="X496" i="1"/>
  <c r="W496" i="1"/>
  <c r="V496" i="1"/>
  <c r="U496" i="1"/>
  <c r="M496" i="1"/>
  <c r="G496" i="1"/>
  <c r="F496" i="1"/>
  <c r="E496" i="1"/>
  <c r="D496" i="1"/>
  <c r="C496" i="1"/>
  <c r="B496" i="1"/>
  <c r="X495" i="1"/>
  <c r="W495" i="1"/>
  <c r="V495" i="1"/>
  <c r="U495" i="1"/>
  <c r="G495" i="1"/>
  <c r="F495" i="1"/>
  <c r="E495" i="1"/>
  <c r="D495" i="1"/>
  <c r="C495" i="1"/>
  <c r="B495" i="1"/>
  <c r="M495" i="1" s="1"/>
  <c r="X494" i="1"/>
  <c r="W494" i="1"/>
  <c r="V494" i="1"/>
  <c r="U494" i="1"/>
  <c r="G494" i="1"/>
  <c r="F494" i="1"/>
  <c r="E494" i="1"/>
  <c r="D494" i="1"/>
  <c r="C494" i="1"/>
  <c r="B494" i="1"/>
  <c r="M494" i="1" s="1"/>
  <c r="X493" i="1"/>
  <c r="W493" i="1"/>
  <c r="V493" i="1"/>
  <c r="U493" i="1"/>
  <c r="M493" i="1"/>
  <c r="G493" i="1"/>
  <c r="F493" i="1"/>
  <c r="E493" i="1"/>
  <c r="D493" i="1"/>
  <c r="C493" i="1"/>
  <c r="B493" i="1"/>
  <c r="X492" i="1"/>
  <c r="W492" i="1"/>
  <c r="V492" i="1"/>
  <c r="U492" i="1"/>
  <c r="G492" i="1"/>
  <c r="F492" i="1"/>
  <c r="E492" i="1"/>
  <c r="D492" i="1"/>
  <c r="C492" i="1"/>
  <c r="B492" i="1"/>
  <c r="M492" i="1" s="1"/>
  <c r="X491" i="1"/>
  <c r="W491" i="1"/>
  <c r="V491" i="1"/>
  <c r="U491" i="1"/>
  <c r="G491" i="1"/>
  <c r="F491" i="1"/>
  <c r="E491" i="1"/>
  <c r="D491" i="1"/>
  <c r="C491" i="1"/>
  <c r="B491" i="1"/>
  <c r="M491" i="1" s="1"/>
  <c r="X490" i="1"/>
  <c r="W490" i="1"/>
  <c r="V490" i="1"/>
  <c r="U490" i="1"/>
  <c r="M490" i="1"/>
  <c r="G490" i="1"/>
  <c r="F490" i="1"/>
  <c r="E490" i="1"/>
  <c r="D490" i="1"/>
  <c r="C490" i="1"/>
  <c r="B490" i="1"/>
  <c r="X489" i="1"/>
  <c r="W489" i="1"/>
  <c r="V489" i="1"/>
  <c r="U489" i="1"/>
  <c r="M489" i="1"/>
  <c r="G489" i="1"/>
  <c r="F489" i="1"/>
  <c r="E489" i="1"/>
  <c r="D489" i="1"/>
  <c r="C489" i="1"/>
  <c r="B489" i="1"/>
  <c r="X488" i="1"/>
  <c r="W488" i="1"/>
  <c r="V488" i="1"/>
  <c r="U488" i="1"/>
  <c r="M488" i="1"/>
  <c r="G488" i="1"/>
  <c r="F488" i="1"/>
  <c r="E488" i="1"/>
  <c r="D488" i="1"/>
  <c r="C488" i="1"/>
  <c r="B488" i="1"/>
  <c r="X487" i="1"/>
  <c r="W487" i="1"/>
  <c r="V487" i="1"/>
  <c r="U487" i="1"/>
  <c r="G487" i="1"/>
  <c r="F487" i="1"/>
  <c r="E487" i="1"/>
  <c r="D487" i="1"/>
  <c r="C487" i="1"/>
  <c r="B487" i="1"/>
  <c r="M487" i="1" s="1"/>
  <c r="X486" i="1"/>
  <c r="W486" i="1"/>
  <c r="V486" i="1"/>
  <c r="U486" i="1"/>
  <c r="M486" i="1"/>
  <c r="G486" i="1"/>
  <c r="F486" i="1"/>
  <c r="E486" i="1"/>
  <c r="D486" i="1"/>
  <c r="C486" i="1"/>
  <c r="B486" i="1"/>
  <c r="X485" i="1"/>
  <c r="W485" i="1"/>
  <c r="V485" i="1"/>
  <c r="U485" i="1"/>
  <c r="G485" i="1"/>
  <c r="F485" i="1"/>
  <c r="E485" i="1"/>
  <c r="D485" i="1"/>
  <c r="C485" i="1"/>
  <c r="B485" i="1"/>
  <c r="M485" i="1" s="1"/>
  <c r="X484" i="1"/>
  <c r="W484" i="1"/>
  <c r="V484" i="1"/>
  <c r="U484" i="1"/>
  <c r="G484" i="1"/>
  <c r="F484" i="1"/>
  <c r="E484" i="1"/>
  <c r="D484" i="1"/>
  <c r="C484" i="1"/>
  <c r="B484" i="1"/>
  <c r="M484" i="1" s="1"/>
  <c r="X483" i="1"/>
  <c r="W483" i="1"/>
  <c r="V483" i="1"/>
  <c r="U483" i="1"/>
  <c r="G483" i="1"/>
  <c r="F483" i="1"/>
  <c r="E483" i="1"/>
  <c r="D483" i="1"/>
  <c r="C483" i="1"/>
  <c r="B483" i="1"/>
  <c r="M483" i="1" s="1"/>
  <c r="X482" i="1"/>
  <c r="W482" i="1"/>
  <c r="V482" i="1"/>
  <c r="U482" i="1"/>
  <c r="G482" i="1"/>
  <c r="F482" i="1"/>
  <c r="E482" i="1"/>
  <c r="D482" i="1"/>
  <c r="C482" i="1"/>
  <c r="B482" i="1"/>
  <c r="M482" i="1" s="1"/>
  <c r="X481" i="1"/>
  <c r="W481" i="1"/>
  <c r="V481" i="1"/>
  <c r="U481" i="1"/>
  <c r="M481" i="1"/>
  <c r="G481" i="1"/>
  <c r="F481" i="1"/>
  <c r="E481" i="1"/>
  <c r="D481" i="1"/>
  <c r="C481" i="1"/>
  <c r="B481" i="1"/>
  <c r="X480" i="1"/>
  <c r="W480" i="1"/>
  <c r="V480" i="1"/>
  <c r="U480" i="1"/>
  <c r="M480" i="1"/>
  <c r="G480" i="1"/>
  <c r="F480" i="1"/>
  <c r="E480" i="1"/>
  <c r="D480" i="1"/>
  <c r="C480" i="1"/>
  <c r="B480" i="1"/>
  <c r="X479" i="1"/>
  <c r="W479" i="1"/>
  <c r="V479" i="1"/>
  <c r="U479" i="1"/>
  <c r="M479" i="1"/>
  <c r="G479" i="1"/>
  <c r="F479" i="1"/>
  <c r="E479" i="1"/>
  <c r="D479" i="1"/>
  <c r="C479" i="1"/>
  <c r="B479" i="1"/>
  <c r="X478" i="1"/>
  <c r="W478" i="1"/>
  <c r="V478" i="1"/>
  <c r="U478" i="1"/>
  <c r="M478" i="1"/>
  <c r="G478" i="1"/>
  <c r="F478" i="1"/>
  <c r="E478" i="1"/>
  <c r="D478" i="1"/>
  <c r="C478" i="1"/>
  <c r="B478" i="1"/>
  <c r="X477" i="1"/>
  <c r="W477" i="1"/>
  <c r="V477" i="1"/>
  <c r="U477" i="1"/>
  <c r="M477" i="1"/>
  <c r="G477" i="1"/>
  <c r="F477" i="1"/>
  <c r="E477" i="1"/>
  <c r="D477" i="1"/>
  <c r="C477" i="1"/>
  <c r="B477" i="1"/>
  <c r="X476" i="1"/>
  <c r="W476" i="1"/>
  <c r="V476" i="1"/>
  <c r="U476" i="1"/>
  <c r="M476" i="1"/>
  <c r="G476" i="1"/>
  <c r="F476" i="1"/>
  <c r="E476" i="1"/>
  <c r="D476" i="1"/>
  <c r="C476" i="1"/>
  <c r="B476" i="1"/>
  <c r="X475" i="1"/>
  <c r="W475" i="1"/>
  <c r="V475" i="1"/>
  <c r="U475" i="1"/>
  <c r="G475" i="1"/>
  <c r="F475" i="1"/>
  <c r="E475" i="1"/>
  <c r="D475" i="1"/>
  <c r="C475" i="1"/>
  <c r="B475" i="1"/>
  <c r="M475" i="1" s="1"/>
  <c r="X474" i="1"/>
  <c r="W474" i="1"/>
  <c r="V474" i="1"/>
  <c r="U474" i="1"/>
  <c r="G474" i="1"/>
  <c r="F474" i="1"/>
  <c r="E474" i="1"/>
  <c r="D474" i="1"/>
  <c r="C474" i="1"/>
  <c r="B474" i="1"/>
  <c r="M474" i="1" s="1"/>
  <c r="X473" i="1"/>
  <c r="W473" i="1"/>
  <c r="V473" i="1"/>
  <c r="U473" i="1"/>
  <c r="M473" i="1"/>
  <c r="G473" i="1"/>
  <c r="F473" i="1"/>
  <c r="E473" i="1"/>
  <c r="D473" i="1"/>
  <c r="C473" i="1"/>
  <c r="B473" i="1"/>
  <c r="X472" i="1"/>
  <c r="W472" i="1"/>
  <c r="V472" i="1"/>
  <c r="U472" i="1"/>
  <c r="G472" i="1"/>
  <c r="F472" i="1"/>
  <c r="E472" i="1"/>
  <c r="D472" i="1"/>
  <c r="C472" i="1"/>
  <c r="B472" i="1"/>
  <c r="M472" i="1" s="1"/>
  <c r="X471" i="1"/>
  <c r="W471" i="1"/>
  <c r="V471" i="1"/>
  <c r="U471" i="1"/>
  <c r="G471" i="1"/>
  <c r="F471" i="1"/>
  <c r="E471" i="1"/>
  <c r="D471" i="1"/>
  <c r="C471" i="1"/>
  <c r="B471" i="1"/>
  <c r="M471" i="1" s="1"/>
  <c r="X470" i="1"/>
  <c r="W470" i="1"/>
  <c r="V470" i="1"/>
  <c r="U470" i="1"/>
  <c r="M470" i="1"/>
  <c r="G470" i="1"/>
  <c r="F470" i="1"/>
  <c r="E470" i="1"/>
  <c r="D470" i="1"/>
  <c r="C470" i="1"/>
  <c r="B470" i="1"/>
  <c r="X469" i="1"/>
  <c r="W469" i="1"/>
  <c r="V469" i="1"/>
  <c r="U469" i="1"/>
  <c r="M469" i="1"/>
  <c r="G469" i="1"/>
  <c r="F469" i="1"/>
  <c r="E469" i="1"/>
  <c r="D469" i="1"/>
  <c r="C469" i="1"/>
  <c r="B469" i="1"/>
  <c r="X468" i="1"/>
  <c r="W468" i="1"/>
  <c r="V468" i="1"/>
  <c r="U468" i="1"/>
  <c r="G468" i="1"/>
  <c r="F468" i="1"/>
  <c r="E468" i="1"/>
  <c r="D468" i="1"/>
  <c r="C468" i="1"/>
  <c r="B468" i="1"/>
  <c r="M468" i="1" s="1"/>
  <c r="X467" i="1"/>
  <c r="W467" i="1"/>
  <c r="V467" i="1"/>
  <c r="U467" i="1"/>
  <c r="M467" i="1"/>
  <c r="G467" i="1"/>
  <c r="F467" i="1"/>
  <c r="E467" i="1"/>
  <c r="D467" i="1"/>
  <c r="C467" i="1"/>
  <c r="B467" i="1"/>
  <c r="X466" i="1"/>
  <c r="W466" i="1"/>
  <c r="V466" i="1"/>
  <c r="U466" i="1"/>
  <c r="M466" i="1"/>
  <c r="G466" i="1"/>
  <c r="F466" i="1"/>
  <c r="E466" i="1"/>
  <c r="D466" i="1"/>
  <c r="C466" i="1"/>
  <c r="B466" i="1"/>
  <c r="X465" i="1"/>
  <c r="W465" i="1"/>
  <c r="V465" i="1"/>
  <c r="U465" i="1"/>
  <c r="M465" i="1"/>
  <c r="G465" i="1"/>
  <c r="F465" i="1"/>
  <c r="E465" i="1"/>
  <c r="D465" i="1"/>
  <c r="C465" i="1"/>
  <c r="B465" i="1"/>
  <c r="X464" i="1"/>
  <c r="W464" i="1"/>
  <c r="V464" i="1"/>
  <c r="U464" i="1"/>
  <c r="G464" i="1"/>
  <c r="F464" i="1"/>
  <c r="E464" i="1"/>
  <c r="D464" i="1"/>
  <c r="C464" i="1"/>
  <c r="B464" i="1"/>
  <c r="M464" i="1" s="1"/>
  <c r="X463" i="1"/>
  <c r="W463" i="1"/>
  <c r="V463" i="1"/>
  <c r="U463" i="1"/>
  <c r="G463" i="1"/>
  <c r="F463" i="1"/>
  <c r="E463" i="1"/>
  <c r="D463" i="1"/>
  <c r="C463" i="1"/>
  <c r="B463" i="1"/>
  <c r="M463" i="1" s="1"/>
  <c r="X462" i="1"/>
  <c r="W462" i="1"/>
  <c r="V462" i="1"/>
  <c r="U462" i="1"/>
  <c r="G462" i="1"/>
  <c r="F462" i="1"/>
  <c r="E462" i="1"/>
  <c r="D462" i="1"/>
  <c r="C462" i="1"/>
  <c r="B462" i="1"/>
  <c r="M462" i="1" s="1"/>
  <c r="X461" i="1"/>
  <c r="W461" i="1"/>
  <c r="V461" i="1"/>
  <c r="U461" i="1"/>
  <c r="G461" i="1"/>
  <c r="F461" i="1"/>
  <c r="E461" i="1"/>
  <c r="D461" i="1"/>
  <c r="C461" i="1"/>
  <c r="B461" i="1"/>
  <c r="M461" i="1" s="1"/>
  <c r="X460" i="1"/>
  <c r="W460" i="1"/>
  <c r="V460" i="1"/>
  <c r="U460" i="1"/>
  <c r="G460" i="1"/>
  <c r="F460" i="1"/>
  <c r="E460" i="1"/>
  <c r="D460" i="1"/>
  <c r="C460" i="1"/>
  <c r="B460" i="1"/>
  <c r="M460" i="1" s="1"/>
  <c r="X459" i="1"/>
  <c r="W459" i="1"/>
  <c r="V459" i="1"/>
  <c r="U459" i="1"/>
  <c r="G459" i="1"/>
  <c r="F459" i="1"/>
  <c r="E459" i="1"/>
  <c r="D459" i="1"/>
  <c r="C459" i="1"/>
  <c r="B459" i="1"/>
  <c r="M459" i="1" s="1"/>
  <c r="X458" i="1"/>
  <c r="W458" i="1"/>
  <c r="V458" i="1"/>
  <c r="U458" i="1"/>
  <c r="G458" i="1"/>
  <c r="F458" i="1"/>
  <c r="E458" i="1"/>
  <c r="D458" i="1"/>
  <c r="C458" i="1"/>
  <c r="B458" i="1"/>
  <c r="M458" i="1" s="1"/>
  <c r="X457" i="1"/>
  <c r="W457" i="1"/>
  <c r="V457" i="1"/>
  <c r="U457" i="1"/>
  <c r="M457" i="1"/>
  <c r="G457" i="1"/>
  <c r="F457" i="1"/>
  <c r="E457" i="1"/>
  <c r="D457" i="1"/>
  <c r="C457" i="1"/>
  <c r="B457" i="1"/>
  <c r="X456" i="1"/>
  <c r="W456" i="1"/>
  <c r="V456" i="1"/>
  <c r="U456" i="1"/>
  <c r="M456" i="1"/>
  <c r="G456" i="1"/>
  <c r="F456" i="1"/>
  <c r="E456" i="1"/>
  <c r="D456" i="1"/>
  <c r="C456" i="1"/>
  <c r="B456" i="1"/>
  <c r="X455" i="1"/>
  <c r="W455" i="1"/>
  <c r="V455" i="1"/>
  <c r="U455" i="1"/>
  <c r="M455" i="1"/>
  <c r="G455" i="1"/>
  <c r="F455" i="1"/>
  <c r="E455" i="1"/>
  <c r="D455" i="1"/>
  <c r="C455" i="1"/>
  <c r="B455" i="1"/>
  <c r="X454" i="1"/>
  <c r="W454" i="1"/>
  <c r="V454" i="1"/>
  <c r="U454" i="1"/>
  <c r="G454" i="1"/>
  <c r="F454" i="1"/>
  <c r="E454" i="1"/>
  <c r="D454" i="1"/>
  <c r="C454" i="1"/>
  <c r="B454" i="1"/>
  <c r="M454" i="1" s="1"/>
  <c r="X453" i="1"/>
  <c r="W453" i="1"/>
  <c r="V453" i="1"/>
  <c r="U453" i="1"/>
  <c r="M453" i="1"/>
  <c r="G453" i="1"/>
  <c r="F453" i="1"/>
  <c r="E453" i="1"/>
  <c r="D453" i="1"/>
  <c r="C453" i="1"/>
  <c r="B453" i="1"/>
  <c r="X452" i="1"/>
  <c r="W452" i="1"/>
  <c r="V452" i="1"/>
  <c r="U452" i="1"/>
  <c r="M452" i="1"/>
  <c r="G452" i="1"/>
  <c r="F452" i="1"/>
  <c r="E452" i="1"/>
  <c r="D452" i="1"/>
  <c r="C452" i="1"/>
  <c r="B452" i="1"/>
  <c r="X451" i="1"/>
  <c r="W451" i="1"/>
  <c r="V451" i="1"/>
  <c r="U451" i="1"/>
  <c r="G451" i="1"/>
  <c r="F451" i="1"/>
  <c r="E451" i="1"/>
  <c r="D451" i="1"/>
  <c r="C451" i="1"/>
  <c r="B451" i="1"/>
  <c r="M451" i="1" s="1"/>
  <c r="X450" i="1"/>
  <c r="W450" i="1"/>
  <c r="V450" i="1"/>
  <c r="U450" i="1"/>
  <c r="G450" i="1"/>
  <c r="F450" i="1"/>
  <c r="E450" i="1"/>
  <c r="D450" i="1"/>
  <c r="C450" i="1"/>
  <c r="B450" i="1"/>
  <c r="M450" i="1" s="1"/>
  <c r="X449" i="1"/>
  <c r="W449" i="1"/>
  <c r="V449" i="1"/>
  <c r="U449" i="1"/>
  <c r="M449" i="1"/>
  <c r="G449" i="1"/>
  <c r="F449" i="1"/>
  <c r="E449" i="1"/>
  <c r="D449" i="1"/>
  <c r="C449" i="1"/>
  <c r="B449" i="1"/>
  <c r="X448" i="1"/>
  <c r="W448" i="1"/>
  <c r="V448" i="1"/>
  <c r="U448" i="1"/>
  <c r="M448" i="1"/>
  <c r="G448" i="1"/>
  <c r="F448" i="1"/>
  <c r="E448" i="1"/>
  <c r="D448" i="1"/>
  <c r="C448" i="1"/>
  <c r="B448" i="1"/>
  <c r="X447" i="1"/>
  <c r="W447" i="1"/>
  <c r="V447" i="1"/>
  <c r="U447" i="1"/>
  <c r="G447" i="1"/>
  <c r="F447" i="1"/>
  <c r="E447" i="1"/>
  <c r="D447" i="1"/>
  <c r="C447" i="1"/>
  <c r="B447" i="1"/>
  <c r="M447" i="1" s="1"/>
  <c r="X446" i="1"/>
  <c r="W446" i="1"/>
  <c r="V446" i="1"/>
  <c r="U446" i="1"/>
  <c r="M446" i="1"/>
  <c r="G446" i="1"/>
  <c r="F446" i="1"/>
  <c r="E446" i="1"/>
  <c r="D446" i="1"/>
  <c r="C446" i="1"/>
  <c r="B446" i="1"/>
  <c r="X445" i="1"/>
  <c r="W445" i="1"/>
  <c r="V445" i="1"/>
  <c r="U445" i="1"/>
  <c r="M445" i="1"/>
  <c r="G445" i="1"/>
  <c r="F445" i="1"/>
  <c r="E445" i="1"/>
  <c r="D445" i="1"/>
  <c r="C445" i="1"/>
  <c r="B445" i="1"/>
  <c r="X444" i="1"/>
  <c r="W444" i="1"/>
  <c r="V444" i="1"/>
  <c r="U444" i="1"/>
  <c r="G444" i="1"/>
  <c r="F444" i="1"/>
  <c r="E444" i="1"/>
  <c r="D444" i="1"/>
  <c r="C444" i="1"/>
  <c r="B444" i="1"/>
  <c r="M444" i="1" s="1"/>
  <c r="X443" i="1"/>
  <c r="W443" i="1"/>
  <c r="V443" i="1"/>
  <c r="U443" i="1"/>
  <c r="G443" i="1"/>
  <c r="F443" i="1"/>
  <c r="E443" i="1"/>
  <c r="D443" i="1"/>
  <c r="C443" i="1"/>
  <c r="B443" i="1"/>
  <c r="M443" i="1" s="1"/>
  <c r="X442" i="1"/>
  <c r="W442" i="1"/>
  <c r="V442" i="1"/>
  <c r="U442" i="1"/>
  <c r="M442" i="1"/>
  <c r="G442" i="1"/>
  <c r="F442" i="1"/>
  <c r="E442" i="1"/>
  <c r="D442" i="1"/>
  <c r="C442" i="1"/>
  <c r="B442" i="1"/>
  <c r="X441" i="1"/>
  <c r="W441" i="1"/>
  <c r="V441" i="1"/>
  <c r="U441" i="1"/>
  <c r="M441" i="1"/>
  <c r="G441" i="1"/>
  <c r="F441" i="1"/>
  <c r="E441" i="1"/>
  <c r="D441" i="1"/>
  <c r="C441" i="1"/>
  <c r="B441" i="1"/>
  <c r="X440" i="1"/>
  <c r="W440" i="1"/>
  <c r="V440" i="1"/>
  <c r="U440" i="1"/>
  <c r="G440" i="1"/>
  <c r="F440" i="1"/>
  <c r="E440" i="1"/>
  <c r="D440" i="1"/>
  <c r="C440" i="1"/>
  <c r="B440" i="1"/>
  <c r="M440" i="1" s="1"/>
  <c r="X439" i="1"/>
  <c r="W439" i="1"/>
  <c r="V439" i="1"/>
  <c r="U439" i="1"/>
  <c r="G439" i="1"/>
  <c r="F439" i="1"/>
  <c r="E439" i="1"/>
  <c r="D439" i="1"/>
  <c r="C439" i="1"/>
  <c r="B439" i="1"/>
  <c r="M439" i="1" s="1"/>
  <c r="X438" i="1"/>
  <c r="W438" i="1"/>
  <c r="V438" i="1"/>
  <c r="U438" i="1"/>
  <c r="M438" i="1"/>
  <c r="G438" i="1"/>
  <c r="F438" i="1"/>
  <c r="E438" i="1"/>
  <c r="D438" i="1"/>
  <c r="C438" i="1"/>
  <c r="B438" i="1"/>
  <c r="X437" i="1"/>
  <c r="W437" i="1"/>
  <c r="V437" i="1"/>
  <c r="U437" i="1"/>
  <c r="M437" i="1"/>
  <c r="G437" i="1"/>
  <c r="F437" i="1"/>
  <c r="E437" i="1"/>
  <c r="D437" i="1"/>
  <c r="C437" i="1"/>
  <c r="B437" i="1"/>
  <c r="X436" i="1"/>
  <c r="W436" i="1"/>
  <c r="V436" i="1"/>
  <c r="U436" i="1"/>
  <c r="M436" i="1"/>
  <c r="G436" i="1"/>
  <c r="F436" i="1"/>
  <c r="E436" i="1"/>
  <c r="D436" i="1"/>
  <c r="C436" i="1"/>
  <c r="B436" i="1"/>
  <c r="X435" i="1"/>
  <c r="W435" i="1"/>
  <c r="V435" i="1"/>
  <c r="U435" i="1"/>
  <c r="G435" i="1"/>
  <c r="F435" i="1"/>
  <c r="E435" i="1"/>
  <c r="D435" i="1"/>
  <c r="C435" i="1"/>
  <c r="B435" i="1"/>
  <c r="M435" i="1" s="1"/>
  <c r="X434" i="1"/>
  <c r="W434" i="1"/>
  <c r="V434" i="1"/>
  <c r="U434" i="1"/>
  <c r="M434" i="1"/>
  <c r="G434" i="1"/>
  <c r="F434" i="1"/>
  <c r="E434" i="1"/>
  <c r="D434" i="1"/>
  <c r="C434" i="1"/>
  <c r="B434" i="1"/>
  <c r="X433" i="1"/>
  <c r="W433" i="1"/>
  <c r="V433" i="1"/>
  <c r="U433" i="1"/>
  <c r="M433" i="1"/>
  <c r="G433" i="1"/>
  <c r="F433" i="1"/>
  <c r="E433" i="1"/>
  <c r="D433" i="1"/>
  <c r="C433" i="1"/>
  <c r="B433" i="1"/>
  <c r="X432" i="1"/>
  <c r="W432" i="1"/>
  <c r="V432" i="1"/>
  <c r="U432" i="1"/>
  <c r="G432" i="1"/>
  <c r="F432" i="1"/>
  <c r="E432" i="1"/>
  <c r="D432" i="1"/>
  <c r="C432" i="1"/>
  <c r="B432" i="1"/>
  <c r="M432" i="1" s="1"/>
  <c r="X431" i="1"/>
  <c r="W431" i="1"/>
  <c r="V431" i="1"/>
  <c r="U431" i="1"/>
  <c r="G431" i="1"/>
  <c r="F431" i="1"/>
  <c r="E431" i="1"/>
  <c r="D431" i="1"/>
  <c r="C431" i="1"/>
  <c r="B431" i="1"/>
  <c r="M431" i="1" s="1"/>
  <c r="X430" i="1"/>
  <c r="W430" i="1"/>
  <c r="V430" i="1"/>
  <c r="U430" i="1"/>
  <c r="G430" i="1"/>
  <c r="F430" i="1"/>
  <c r="E430" i="1"/>
  <c r="D430" i="1"/>
  <c r="C430" i="1"/>
  <c r="B430" i="1"/>
  <c r="M430" i="1" s="1"/>
  <c r="X429" i="1"/>
  <c r="W429" i="1"/>
  <c r="V429" i="1"/>
  <c r="U429" i="1"/>
  <c r="M429" i="1"/>
  <c r="G429" i="1"/>
  <c r="F429" i="1"/>
  <c r="E429" i="1"/>
  <c r="D429" i="1"/>
  <c r="C429" i="1"/>
  <c r="B429" i="1"/>
  <c r="X428" i="1"/>
  <c r="W428" i="1"/>
  <c r="V428" i="1"/>
  <c r="U428" i="1"/>
  <c r="G428" i="1"/>
  <c r="F428" i="1"/>
  <c r="E428" i="1"/>
  <c r="D428" i="1"/>
  <c r="C428" i="1"/>
  <c r="B428" i="1"/>
  <c r="M428" i="1" s="1"/>
  <c r="X427" i="1"/>
  <c r="W427" i="1"/>
  <c r="V427" i="1"/>
  <c r="U427" i="1"/>
  <c r="G427" i="1"/>
  <c r="F427" i="1"/>
  <c r="E427" i="1"/>
  <c r="D427" i="1"/>
  <c r="C427" i="1"/>
  <c r="B427" i="1"/>
  <c r="M427" i="1" s="1"/>
  <c r="X426" i="1"/>
  <c r="W426" i="1"/>
  <c r="V426" i="1"/>
  <c r="U426" i="1"/>
  <c r="G426" i="1"/>
  <c r="F426" i="1"/>
  <c r="E426" i="1"/>
  <c r="D426" i="1"/>
  <c r="C426" i="1"/>
  <c r="B426" i="1"/>
  <c r="M426" i="1" s="1"/>
  <c r="X425" i="1"/>
  <c r="W425" i="1"/>
  <c r="V425" i="1"/>
  <c r="U425" i="1"/>
  <c r="M425" i="1"/>
  <c r="G425" i="1"/>
  <c r="F425" i="1"/>
  <c r="E425" i="1"/>
  <c r="D425" i="1"/>
  <c r="C425" i="1"/>
  <c r="B425" i="1"/>
  <c r="X424" i="1"/>
  <c r="W424" i="1"/>
  <c r="V424" i="1"/>
  <c r="U424" i="1"/>
  <c r="M424" i="1"/>
  <c r="G424" i="1"/>
  <c r="F424" i="1"/>
  <c r="E424" i="1"/>
  <c r="D424" i="1"/>
  <c r="C424" i="1"/>
  <c r="B424" i="1"/>
  <c r="X423" i="1"/>
  <c r="W423" i="1"/>
  <c r="V423" i="1"/>
  <c r="U423" i="1"/>
  <c r="G423" i="1"/>
  <c r="F423" i="1"/>
  <c r="E423" i="1"/>
  <c r="D423" i="1"/>
  <c r="C423" i="1"/>
  <c r="B423" i="1"/>
  <c r="M423" i="1" s="1"/>
  <c r="X422" i="1"/>
  <c r="W422" i="1"/>
  <c r="V422" i="1"/>
  <c r="U422" i="1"/>
  <c r="G422" i="1"/>
  <c r="F422" i="1"/>
  <c r="E422" i="1"/>
  <c r="D422" i="1"/>
  <c r="C422" i="1"/>
  <c r="B422" i="1"/>
  <c r="M422" i="1" s="1"/>
  <c r="X421" i="1"/>
  <c r="W421" i="1"/>
  <c r="V421" i="1"/>
  <c r="U421" i="1"/>
  <c r="M421" i="1"/>
  <c r="G421" i="1"/>
  <c r="F421" i="1"/>
  <c r="E421" i="1"/>
  <c r="D421" i="1"/>
  <c r="C421" i="1"/>
  <c r="B421" i="1"/>
  <c r="X420" i="1"/>
  <c r="W420" i="1"/>
  <c r="V420" i="1"/>
  <c r="U420" i="1"/>
  <c r="G420" i="1"/>
  <c r="F420" i="1"/>
  <c r="E420" i="1"/>
  <c r="D420" i="1"/>
  <c r="C420" i="1"/>
  <c r="B420" i="1"/>
  <c r="M420" i="1" s="1"/>
  <c r="X419" i="1"/>
  <c r="W419" i="1"/>
  <c r="V419" i="1"/>
  <c r="U419" i="1"/>
  <c r="G419" i="1"/>
  <c r="F419" i="1"/>
  <c r="E419" i="1"/>
  <c r="D419" i="1"/>
  <c r="C419" i="1"/>
  <c r="B419" i="1"/>
  <c r="M419" i="1" s="1"/>
  <c r="X418" i="1"/>
  <c r="W418" i="1"/>
  <c r="V418" i="1"/>
  <c r="U418" i="1"/>
  <c r="M418" i="1"/>
  <c r="G418" i="1"/>
  <c r="F418" i="1"/>
  <c r="E418" i="1"/>
  <c r="D418" i="1"/>
  <c r="C418" i="1"/>
  <c r="B418" i="1"/>
  <c r="X417" i="1"/>
  <c r="W417" i="1"/>
  <c r="V417" i="1"/>
  <c r="U417" i="1"/>
  <c r="M417" i="1"/>
  <c r="G417" i="1"/>
  <c r="F417" i="1"/>
  <c r="E417" i="1"/>
  <c r="D417" i="1"/>
  <c r="C417" i="1"/>
  <c r="B417" i="1"/>
  <c r="X416" i="1"/>
  <c r="W416" i="1"/>
  <c r="V416" i="1"/>
  <c r="U416" i="1"/>
  <c r="G416" i="1"/>
  <c r="F416" i="1"/>
  <c r="E416" i="1"/>
  <c r="D416" i="1"/>
  <c r="C416" i="1"/>
  <c r="B416" i="1"/>
  <c r="M416" i="1" s="1"/>
  <c r="X415" i="1"/>
  <c r="W415" i="1"/>
  <c r="V415" i="1"/>
  <c r="U415" i="1"/>
  <c r="G415" i="1"/>
  <c r="F415" i="1"/>
  <c r="E415" i="1"/>
  <c r="D415" i="1"/>
  <c r="C415" i="1"/>
  <c r="B415" i="1"/>
  <c r="M415" i="1" s="1"/>
  <c r="X414" i="1"/>
  <c r="W414" i="1"/>
  <c r="V414" i="1"/>
  <c r="U414" i="1"/>
  <c r="M414" i="1"/>
  <c r="G414" i="1"/>
  <c r="F414" i="1"/>
  <c r="E414" i="1"/>
  <c r="D414" i="1"/>
  <c r="C414" i="1"/>
  <c r="B414" i="1"/>
  <c r="X413" i="1"/>
  <c r="W413" i="1"/>
  <c r="V413" i="1"/>
  <c r="U413" i="1"/>
  <c r="G413" i="1"/>
  <c r="F413" i="1"/>
  <c r="E413" i="1"/>
  <c r="D413" i="1"/>
  <c r="C413" i="1"/>
  <c r="B413" i="1"/>
  <c r="M413" i="1" s="1"/>
  <c r="X412" i="1"/>
  <c r="W412" i="1"/>
  <c r="V412" i="1"/>
  <c r="U412" i="1"/>
  <c r="G412" i="1"/>
  <c r="F412" i="1"/>
  <c r="E412" i="1"/>
  <c r="D412" i="1"/>
  <c r="C412" i="1"/>
  <c r="B412" i="1"/>
  <c r="M412" i="1" s="1"/>
  <c r="X411" i="1"/>
  <c r="W411" i="1"/>
  <c r="V411" i="1"/>
  <c r="U411" i="1"/>
  <c r="G411" i="1"/>
  <c r="F411" i="1"/>
  <c r="E411" i="1"/>
  <c r="D411" i="1"/>
  <c r="C411" i="1"/>
  <c r="B411" i="1"/>
  <c r="M411" i="1" s="1"/>
  <c r="X410" i="1"/>
  <c r="W410" i="1"/>
  <c r="V410" i="1"/>
  <c r="U410" i="1"/>
  <c r="G410" i="1"/>
  <c r="F410" i="1"/>
  <c r="E410" i="1"/>
  <c r="D410" i="1"/>
  <c r="C410" i="1"/>
  <c r="B410" i="1"/>
  <c r="M410" i="1" s="1"/>
  <c r="X409" i="1"/>
  <c r="W409" i="1"/>
  <c r="V409" i="1"/>
  <c r="U409" i="1"/>
  <c r="M409" i="1"/>
  <c r="G409" i="1"/>
  <c r="F409" i="1"/>
  <c r="E409" i="1"/>
  <c r="D409" i="1"/>
  <c r="C409" i="1"/>
  <c r="B409" i="1"/>
  <c r="X408" i="1"/>
  <c r="W408" i="1"/>
  <c r="V408" i="1"/>
  <c r="U408" i="1"/>
  <c r="G408" i="1"/>
  <c r="F408" i="1"/>
  <c r="E408" i="1"/>
  <c r="D408" i="1"/>
  <c r="C408" i="1"/>
  <c r="B408" i="1"/>
  <c r="M408" i="1" s="1"/>
  <c r="X407" i="1"/>
  <c r="W407" i="1"/>
  <c r="V407" i="1"/>
  <c r="U407" i="1"/>
  <c r="M407" i="1"/>
  <c r="G407" i="1"/>
  <c r="F407" i="1"/>
  <c r="E407" i="1"/>
  <c r="D407" i="1"/>
  <c r="C407" i="1"/>
  <c r="B407" i="1"/>
  <c r="X406" i="1"/>
  <c r="W406" i="1"/>
  <c r="V406" i="1"/>
  <c r="U406" i="1"/>
  <c r="M406" i="1"/>
  <c r="G406" i="1"/>
  <c r="F406" i="1"/>
  <c r="E406" i="1"/>
  <c r="D406" i="1"/>
  <c r="C406" i="1"/>
  <c r="B406" i="1"/>
  <c r="X405" i="1"/>
  <c r="W405" i="1"/>
  <c r="V405" i="1"/>
  <c r="U405" i="1"/>
  <c r="M405" i="1"/>
  <c r="G405" i="1"/>
  <c r="F405" i="1"/>
  <c r="E405" i="1"/>
  <c r="D405" i="1"/>
  <c r="C405" i="1"/>
  <c r="B405" i="1"/>
  <c r="X404" i="1"/>
  <c r="W404" i="1"/>
  <c r="V404" i="1"/>
  <c r="U404" i="1"/>
  <c r="M404" i="1"/>
  <c r="G404" i="1"/>
  <c r="F404" i="1"/>
  <c r="E404" i="1"/>
  <c r="D404" i="1"/>
  <c r="C404" i="1"/>
  <c r="B404" i="1"/>
  <c r="X403" i="1"/>
  <c r="W403" i="1"/>
  <c r="V403" i="1"/>
  <c r="U403" i="1"/>
  <c r="G403" i="1"/>
  <c r="F403" i="1"/>
  <c r="E403" i="1"/>
  <c r="D403" i="1"/>
  <c r="C403" i="1"/>
  <c r="B403" i="1"/>
  <c r="M403" i="1" s="1"/>
  <c r="X402" i="1"/>
  <c r="W402" i="1"/>
  <c r="V402" i="1"/>
  <c r="U402" i="1"/>
  <c r="G402" i="1"/>
  <c r="F402" i="1"/>
  <c r="E402" i="1"/>
  <c r="D402" i="1"/>
  <c r="C402" i="1"/>
  <c r="B402" i="1"/>
  <c r="M402" i="1" s="1"/>
  <c r="X401" i="1"/>
  <c r="W401" i="1"/>
  <c r="V401" i="1"/>
  <c r="U401" i="1"/>
  <c r="G401" i="1"/>
  <c r="F401" i="1"/>
  <c r="E401" i="1"/>
  <c r="D401" i="1"/>
  <c r="C401" i="1"/>
  <c r="B401" i="1"/>
  <c r="M401" i="1" s="1"/>
  <c r="X400" i="1"/>
  <c r="W400" i="1"/>
  <c r="V400" i="1"/>
  <c r="U400" i="1"/>
  <c r="M400" i="1"/>
  <c r="G400" i="1"/>
  <c r="F400" i="1"/>
  <c r="E400" i="1"/>
  <c r="D400" i="1"/>
  <c r="C400" i="1"/>
  <c r="B400" i="1"/>
  <c r="X399" i="1"/>
  <c r="W399" i="1"/>
  <c r="V399" i="1"/>
  <c r="U399" i="1"/>
  <c r="G399" i="1"/>
  <c r="F399" i="1"/>
  <c r="E399" i="1"/>
  <c r="D399" i="1"/>
  <c r="C399" i="1"/>
  <c r="B399" i="1"/>
  <c r="M399" i="1" s="1"/>
  <c r="X398" i="1"/>
  <c r="W398" i="1"/>
  <c r="V398" i="1"/>
  <c r="U398" i="1"/>
  <c r="M398" i="1"/>
  <c r="G398" i="1"/>
  <c r="F398" i="1"/>
  <c r="E398" i="1"/>
  <c r="D398" i="1"/>
  <c r="C398" i="1"/>
  <c r="B398" i="1"/>
  <c r="X397" i="1"/>
  <c r="W397" i="1"/>
  <c r="V397" i="1"/>
  <c r="U397" i="1"/>
  <c r="M397" i="1"/>
  <c r="G397" i="1"/>
  <c r="F397" i="1"/>
  <c r="E397" i="1"/>
  <c r="D397" i="1"/>
  <c r="C397" i="1"/>
  <c r="B397" i="1"/>
  <c r="X396" i="1"/>
  <c r="W396" i="1"/>
  <c r="V396" i="1"/>
  <c r="U396" i="1"/>
  <c r="M396" i="1"/>
  <c r="G396" i="1"/>
  <c r="F396" i="1"/>
  <c r="E396" i="1"/>
  <c r="D396" i="1"/>
  <c r="C396" i="1"/>
  <c r="B396" i="1"/>
  <c r="X395" i="1"/>
  <c r="W395" i="1"/>
  <c r="V395" i="1"/>
  <c r="U395" i="1"/>
  <c r="G395" i="1"/>
  <c r="F395" i="1"/>
  <c r="E395" i="1"/>
  <c r="D395" i="1"/>
  <c r="C395" i="1"/>
  <c r="B395" i="1"/>
  <c r="M395" i="1" s="1"/>
  <c r="X394" i="1"/>
  <c r="W394" i="1"/>
  <c r="V394" i="1"/>
  <c r="U394" i="1"/>
  <c r="M394" i="1"/>
  <c r="G394" i="1"/>
  <c r="F394" i="1"/>
  <c r="E394" i="1"/>
  <c r="D394" i="1"/>
  <c r="C394" i="1"/>
  <c r="B394" i="1"/>
  <c r="X393" i="1"/>
  <c r="W393" i="1"/>
  <c r="V393" i="1"/>
  <c r="U393" i="1"/>
  <c r="M393" i="1"/>
  <c r="G393" i="1"/>
  <c r="F393" i="1"/>
  <c r="E393" i="1"/>
  <c r="D393" i="1"/>
  <c r="C393" i="1"/>
  <c r="B393" i="1"/>
  <c r="X392" i="1"/>
  <c r="W392" i="1"/>
  <c r="V392" i="1"/>
  <c r="U392" i="1"/>
  <c r="G392" i="1"/>
  <c r="F392" i="1"/>
  <c r="E392" i="1"/>
  <c r="D392" i="1"/>
  <c r="C392" i="1"/>
  <c r="B392" i="1"/>
  <c r="M392" i="1" s="1"/>
  <c r="X391" i="1"/>
  <c r="W391" i="1"/>
  <c r="V391" i="1"/>
  <c r="U391" i="1"/>
  <c r="G391" i="1"/>
  <c r="F391" i="1"/>
  <c r="E391" i="1"/>
  <c r="D391" i="1"/>
  <c r="C391" i="1"/>
  <c r="B391" i="1"/>
  <c r="M391" i="1" s="1"/>
  <c r="X390" i="1"/>
  <c r="W390" i="1"/>
  <c r="V390" i="1"/>
  <c r="U390" i="1"/>
  <c r="M390" i="1"/>
  <c r="G390" i="1"/>
  <c r="F390" i="1"/>
  <c r="E390" i="1"/>
  <c r="D390" i="1"/>
  <c r="C390" i="1"/>
  <c r="B390" i="1"/>
  <c r="X389" i="1"/>
  <c r="W389" i="1"/>
  <c r="V389" i="1"/>
  <c r="U389" i="1"/>
  <c r="G389" i="1"/>
  <c r="F389" i="1"/>
  <c r="E389" i="1"/>
  <c r="D389" i="1"/>
  <c r="C389" i="1"/>
  <c r="B389" i="1"/>
  <c r="M389" i="1" s="1"/>
  <c r="X388" i="1"/>
  <c r="W388" i="1"/>
  <c r="V388" i="1"/>
  <c r="U388" i="1"/>
  <c r="M388" i="1"/>
  <c r="G388" i="1"/>
  <c r="F388" i="1"/>
  <c r="E388" i="1"/>
  <c r="D388" i="1"/>
  <c r="C388" i="1"/>
  <c r="B388" i="1"/>
  <c r="X387" i="1"/>
  <c r="W387" i="1"/>
  <c r="V387" i="1"/>
  <c r="U387" i="1"/>
  <c r="G387" i="1"/>
  <c r="F387" i="1"/>
  <c r="E387" i="1"/>
  <c r="D387" i="1"/>
  <c r="C387" i="1"/>
  <c r="B387" i="1"/>
  <c r="M387" i="1" s="1"/>
  <c r="X386" i="1"/>
  <c r="W386" i="1"/>
  <c r="V386" i="1"/>
  <c r="U386" i="1"/>
  <c r="G386" i="1"/>
  <c r="F386" i="1"/>
  <c r="E386" i="1"/>
  <c r="D386" i="1"/>
  <c r="C386" i="1"/>
  <c r="B386" i="1"/>
  <c r="M386" i="1" s="1"/>
  <c r="X385" i="1"/>
  <c r="W385" i="1"/>
  <c r="V385" i="1"/>
  <c r="U385" i="1"/>
  <c r="M385" i="1"/>
  <c r="G385" i="1"/>
  <c r="F385" i="1"/>
  <c r="E385" i="1"/>
  <c r="D385" i="1"/>
  <c r="C385" i="1"/>
  <c r="B385" i="1"/>
  <c r="X384" i="1"/>
  <c r="W384" i="1"/>
  <c r="V384" i="1"/>
  <c r="U384" i="1"/>
  <c r="M384" i="1"/>
  <c r="G384" i="1"/>
  <c r="F384" i="1"/>
  <c r="E384" i="1"/>
  <c r="D384" i="1"/>
  <c r="C384" i="1"/>
  <c r="B384" i="1"/>
  <c r="X383" i="1"/>
  <c r="W383" i="1"/>
  <c r="V383" i="1"/>
  <c r="U383" i="1"/>
  <c r="G383" i="1"/>
  <c r="F383" i="1"/>
  <c r="E383" i="1"/>
  <c r="D383" i="1"/>
  <c r="C383" i="1"/>
  <c r="B383" i="1"/>
  <c r="M383" i="1" s="1"/>
  <c r="X382" i="1"/>
  <c r="W382" i="1"/>
  <c r="V382" i="1"/>
  <c r="U382" i="1"/>
  <c r="G382" i="1"/>
  <c r="F382" i="1"/>
  <c r="E382" i="1"/>
  <c r="D382" i="1"/>
  <c r="C382" i="1"/>
  <c r="B382" i="1"/>
  <c r="M382" i="1" s="1"/>
  <c r="X381" i="1"/>
  <c r="W381" i="1"/>
  <c r="V381" i="1"/>
  <c r="U381" i="1"/>
  <c r="M381" i="1"/>
  <c r="G381" i="1"/>
  <c r="F381" i="1"/>
  <c r="E381" i="1"/>
  <c r="D381" i="1"/>
  <c r="C381" i="1"/>
  <c r="B381" i="1"/>
  <c r="X380" i="1"/>
  <c r="W380" i="1"/>
  <c r="V380" i="1"/>
  <c r="U380" i="1"/>
  <c r="M380" i="1"/>
  <c r="G380" i="1"/>
  <c r="F380" i="1"/>
  <c r="E380" i="1"/>
  <c r="D380" i="1"/>
  <c r="C380" i="1"/>
  <c r="B380" i="1"/>
  <c r="X379" i="1"/>
  <c r="W379" i="1"/>
  <c r="V379" i="1"/>
  <c r="U379" i="1"/>
  <c r="G379" i="1"/>
  <c r="F379" i="1"/>
  <c r="E379" i="1"/>
  <c r="D379" i="1"/>
  <c r="C379" i="1"/>
  <c r="B379" i="1"/>
  <c r="M379" i="1" s="1"/>
  <c r="X378" i="1"/>
  <c r="W378" i="1"/>
  <c r="V378" i="1"/>
  <c r="U378" i="1"/>
  <c r="M378" i="1"/>
  <c r="G378" i="1"/>
  <c r="F378" i="1"/>
  <c r="E378" i="1"/>
  <c r="D378" i="1"/>
  <c r="C378" i="1"/>
  <c r="B378" i="1"/>
  <c r="X377" i="1"/>
  <c r="W377" i="1"/>
  <c r="V377" i="1"/>
  <c r="U377" i="1"/>
  <c r="M377" i="1"/>
  <c r="G377" i="1"/>
  <c r="F377" i="1"/>
  <c r="E377" i="1"/>
  <c r="D377" i="1"/>
  <c r="C377" i="1"/>
  <c r="B377" i="1"/>
  <c r="X376" i="1"/>
  <c r="W376" i="1"/>
  <c r="V376" i="1"/>
  <c r="U376" i="1"/>
  <c r="M376" i="1"/>
  <c r="G376" i="1"/>
  <c r="F376" i="1"/>
  <c r="E376" i="1"/>
  <c r="D376" i="1"/>
  <c r="C376" i="1"/>
  <c r="B376" i="1"/>
  <c r="X375" i="1"/>
  <c r="W375" i="1"/>
  <c r="V375" i="1"/>
  <c r="U375" i="1"/>
  <c r="G375" i="1"/>
  <c r="F375" i="1"/>
  <c r="E375" i="1"/>
  <c r="D375" i="1"/>
  <c r="C375" i="1"/>
  <c r="B375" i="1"/>
  <c r="M375" i="1" s="1"/>
  <c r="X374" i="1"/>
  <c r="W374" i="1"/>
  <c r="V374" i="1"/>
  <c r="U374" i="1"/>
  <c r="M374" i="1"/>
  <c r="G374" i="1"/>
  <c r="F374" i="1"/>
  <c r="E374" i="1"/>
  <c r="D374" i="1"/>
  <c r="C374" i="1"/>
  <c r="B374" i="1"/>
  <c r="X373" i="1"/>
  <c r="W373" i="1"/>
  <c r="V373" i="1"/>
  <c r="U373" i="1"/>
  <c r="M373" i="1"/>
  <c r="G373" i="1"/>
  <c r="F373" i="1"/>
  <c r="E373" i="1"/>
  <c r="D373" i="1"/>
  <c r="C373" i="1"/>
  <c r="B373" i="1"/>
  <c r="X372" i="1"/>
  <c r="W372" i="1"/>
  <c r="V372" i="1"/>
  <c r="U372" i="1"/>
  <c r="G372" i="1"/>
  <c r="F372" i="1"/>
  <c r="E372" i="1"/>
  <c r="D372" i="1"/>
  <c r="C372" i="1"/>
  <c r="B372" i="1"/>
  <c r="M372" i="1" s="1"/>
  <c r="X371" i="1"/>
  <c r="W371" i="1"/>
  <c r="V371" i="1"/>
  <c r="U371" i="1"/>
  <c r="G371" i="1"/>
  <c r="F371" i="1"/>
  <c r="E371" i="1"/>
  <c r="D371" i="1"/>
  <c r="C371" i="1"/>
  <c r="B371" i="1"/>
  <c r="M371" i="1" s="1"/>
  <c r="X370" i="1"/>
  <c r="W370" i="1"/>
  <c r="V370" i="1"/>
  <c r="U370" i="1"/>
  <c r="M370" i="1"/>
  <c r="G370" i="1"/>
  <c r="F370" i="1"/>
  <c r="E370" i="1"/>
  <c r="D370" i="1"/>
  <c r="C370" i="1"/>
  <c r="B370" i="1"/>
  <c r="X369" i="1"/>
  <c r="W369" i="1"/>
  <c r="V369" i="1"/>
  <c r="U369" i="1"/>
  <c r="M369" i="1"/>
  <c r="G369" i="1"/>
  <c r="F369" i="1"/>
  <c r="E369" i="1"/>
  <c r="D369" i="1"/>
  <c r="C369" i="1"/>
  <c r="B369" i="1"/>
  <c r="X368" i="1"/>
  <c r="W368" i="1"/>
  <c r="V368" i="1"/>
  <c r="U368" i="1"/>
  <c r="G368" i="1"/>
  <c r="F368" i="1"/>
  <c r="E368" i="1"/>
  <c r="D368" i="1"/>
  <c r="C368" i="1"/>
  <c r="B368" i="1"/>
  <c r="M368" i="1" s="1"/>
  <c r="X367" i="1"/>
  <c r="W367" i="1"/>
  <c r="V367" i="1"/>
  <c r="U367" i="1"/>
  <c r="G367" i="1"/>
  <c r="F367" i="1"/>
  <c r="E367" i="1"/>
  <c r="D367" i="1"/>
  <c r="C367" i="1"/>
  <c r="B367" i="1"/>
  <c r="M367" i="1" s="1"/>
  <c r="X366" i="1"/>
  <c r="W366" i="1"/>
  <c r="V366" i="1"/>
  <c r="U366" i="1"/>
  <c r="M366" i="1"/>
  <c r="G366" i="1"/>
  <c r="F366" i="1"/>
  <c r="E366" i="1"/>
  <c r="D366" i="1"/>
  <c r="C366" i="1"/>
  <c r="B366" i="1"/>
  <c r="X365" i="1"/>
  <c r="W365" i="1"/>
  <c r="V365" i="1"/>
  <c r="U365" i="1"/>
  <c r="M365" i="1"/>
  <c r="G365" i="1"/>
  <c r="F365" i="1"/>
  <c r="E365" i="1"/>
  <c r="D365" i="1"/>
  <c r="C365" i="1"/>
  <c r="B365" i="1"/>
  <c r="X364" i="1"/>
  <c r="W364" i="1"/>
  <c r="V364" i="1"/>
  <c r="U364" i="1"/>
  <c r="G364" i="1"/>
  <c r="F364" i="1"/>
  <c r="E364" i="1"/>
  <c r="D364" i="1"/>
  <c r="C364" i="1"/>
  <c r="B364" i="1"/>
  <c r="M364" i="1" s="1"/>
  <c r="X363" i="1"/>
  <c r="W363" i="1"/>
  <c r="V363" i="1"/>
  <c r="U363" i="1"/>
  <c r="G363" i="1"/>
  <c r="F363" i="1"/>
  <c r="E363" i="1"/>
  <c r="D363" i="1"/>
  <c r="C363" i="1"/>
  <c r="B363" i="1"/>
  <c r="M363" i="1" s="1"/>
  <c r="X362" i="1"/>
  <c r="W362" i="1"/>
  <c r="V362" i="1"/>
  <c r="U362" i="1"/>
  <c r="M362" i="1"/>
  <c r="G362" i="1"/>
  <c r="F362" i="1"/>
  <c r="E362" i="1"/>
  <c r="D362" i="1"/>
  <c r="C362" i="1"/>
  <c r="B362" i="1"/>
  <c r="X361" i="1"/>
  <c r="W361" i="1"/>
  <c r="V361" i="1"/>
  <c r="U361" i="1"/>
  <c r="M361" i="1"/>
  <c r="G361" i="1"/>
  <c r="F361" i="1"/>
  <c r="E361" i="1"/>
  <c r="D361" i="1"/>
  <c r="C361" i="1"/>
  <c r="B361" i="1"/>
  <c r="X360" i="1"/>
  <c r="W360" i="1"/>
  <c r="V360" i="1"/>
  <c r="U360" i="1"/>
  <c r="G360" i="1"/>
  <c r="F360" i="1"/>
  <c r="E360" i="1"/>
  <c r="D360" i="1"/>
  <c r="C360" i="1"/>
  <c r="B360" i="1"/>
  <c r="M360" i="1" s="1"/>
  <c r="X359" i="1"/>
  <c r="W359" i="1"/>
  <c r="V359" i="1"/>
  <c r="U359" i="1"/>
  <c r="M359" i="1"/>
  <c r="G359" i="1"/>
  <c r="F359" i="1"/>
  <c r="E359" i="1"/>
  <c r="D359" i="1"/>
  <c r="C359" i="1"/>
  <c r="B359" i="1"/>
  <c r="X358" i="1"/>
  <c r="W358" i="1"/>
  <c r="V358" i="1"/>
  <c r="U358" i="1"/>
  <c r="G358" i="1"/>
  <c r="F358" i="1"/>
  <c r="E358" i="1"/>
  <c r="D358" i="1"/>
  <c r="C358" i="1"/>
  <c r="B358" i="1"/>
  <c r="M358" i="1" s="1"/>
  <c r="X357" i="1"/>
  <c r="W357" i="1"/>
  <c r="V357" i="1"/>
  <c r="U357" i="1"/>
  <c r="M357" i="1"/>
  <c r="G357" i="1"/>
  <c r="F357" i="1"/>
  <c r="E357" i="1"/>
  <c r="D357" i="1"/>
  <c r="C357" i="1"/>
  <c r="B357" i="1"/>
  <c r="X356" i="1"/>
  <c r="W356" i="1"/>
  <c r="V356" i="1"/>
  <c r="U356" i="1"/>
  <c r="G356" i="1"/>
  <c r="F356" i="1"/>
  <c r="E356" i="1"/>
  <c r="D356" i="1"/>
  <c r="C356" i="1"/>
  <c r="B356" i="1"/>
  <c r="M356" i="1" s="1"/>
  <c r="X355" i="1"/>
  <c r="W355" i="1"/>
  <c r="V355" i="1"/>
  <c r="U355" i="1"/>
  <c r="G355" i="1"/>
  <c r="F355" i="1"/>
  <c r="E355" i="1"/>
  <c r="D355" i="1"/>
  <c r="C355" i="1"/>
  <c r="B355" i="1"/>
  <c r="M355" i="1" s="1"/>
  <c r="X354" i="1"/>
  <c r="W354" i="1"/>
  <c r="V354" i="1"/>
  <c r="U354" i="1"/>
  <c r="G354" i="1"/>
  <c r="F354" i="1"/>
  <c r="E354" i="1"/>
  <c r="D354" i="1"/>
  <c r="C354" i="1"/>
  <c r="B354" i="1"/>
  <c r="M354" i="1" s="1"/>
  <c r="X353" i="1"/>
  <c r="W353" i="1"/>
  <c r="V353" i="1"/>
  <c r="U353" i="1"/>
  <c r="M353" i="1"/>
  <c r="G353" i="1"/>
  <c r="F353" i="1"/>
  <c r="E353" i="1"/>
  <c r="D353" i="1"/>
  <c r="C353" i="1"/>
  <c r="B353" i="1"/>
  <c r="X352" i="1"/>
  <c r="W352" i="1"/>
  <c r="V352" i="1"/>
  <c r="U352" i="1"/>
  <c r="M352" i="1"/>
  <c r="G352" i="1"/>
  <c r="F352" i="1"/>
  <c r="E352" i="1"/>
  <c r="D352" i="1"/>
  <c r="C352" i="1"/>
  <c r="B352" i="1"/>
  <c r="X351" i="1"/>
  <c r="W351" i="1"/>
  <c r="V351" i="1"/>
  <c r="U351" i="1"/>
  <c r="G351" i="1"/>
  <c r="F351" i="1"/>
  <c r="E351" i="1"/>
  <c r="D351" i="1"/>
  <c r="C351" i="1"/>
  <c r="B351" i="1"/>
  <c r="M351" i="1" s="1"/>
  <c r="X350" i="1"/>
  <c r="W350" i="1"/>
  <c r="V350" i="1"/>
  <c r="U350" i="1"/>
  <c r="M350" i="1"/>
  <c r="G350" i="1"/>
  <c r="F350" i="1"/>
  <c r="E350" i="1"/>
  <c r="D350" i="1"/>
  <c r="C350" i="1"/>
  <c r="B350" i="1"/>
  <c r="X349" i="1"/>
  <c r="W349" i="1"/>
  <c r="V349" i="1"/>
  <c r="U349" i="1"/>
  <c r="M349" i="1"/>
  <c r="G349" i="1"/>
  <c r="F349" i="1"/>
  <c r="E349" i="1"/>
  <c r="D349" i="1"/>
  <c r="C349" i="1"/>
  <c r="B349" i="1"/>
  <c r="X348" i="1"/>
  <c r="W348" i="1"/>
  <c r="V348" i="1"/>
  <c r="U348" i="1"/>
  <c r="G348" i="1"/>
  <c r="F348" i="1"/>
  <c r="E348" i="1"/>
  <c r="D348" i="1"/>
  <c r="C348" i="1"/>
  <c r="B348" i="1"/>
  <c r="M348" i="1" s="1"/>
  <c r="X347" i="1"/>
  <c r="W347" i="1"/>
  <c r="V347" i="1"/>
  <c r="U347" i="1"/>
  <c r="G347" i="1"/>
  <c r="F347" i="1"/>
  <c r="E347" i="1"/>
  <c r="D347" i="1"/>
  <c r="C347" i="1"/>
  <c r="B347" i="1"/>
  <c r="M347" i="1" s="1"/>
  <c r="X346" i="1"/>
  <c r="W346" i="1"/>
  <c r="V346" i="1"/>
  <c r="U346" i="1"/>
  <c r="M346" i="1"/>
  <c r="G346" i="1"/>
  <c r="F346" i="1"/>
  <c r="E346" i="1"/>
  <c r="D346" i="1"/>
  <c r="C346" i="1"/>
  <c r="B346" i="1"/>
  <c r="X345" i="1"/>
  <c r="W345" i="1"/>
  <c r="V345" i="1"/>
  <c r="U345" i="1"/>
  <c r="M345" i="1"/>
  <c r="G345" i="1"/>
  <c r="F345" i="1"/>
  <c r="E345" i="1"/>
  <c r="D345" i="1"/>
  <c r="C345" i="1"/>
  <c r="B345" i="1"/>
  <c r="X344" i="1"/>
  <c r="W344" i="1"/>
  <c r="V344" i="1"/>
  <c r="U344" i="1"/>
  <c r="G344" i="1"/>
  <c r="F344" i="1"/>
  <c r="E344" i="1"/>
  <c r="D344" i="1"/>
  <c r="C344" i="1"/>
  <c r="B344" i="1"/>
  <c r="M344" i="1" s="1"/>
  <c r="X343" i="1"/>
  <c r="W343" i="1"/>
  <c r="V343" i="1"/>
  <c r="U343" i="1"/>
  <c r="G343" i="1"/>
  <c r="F343" i="1"/>
  <c r="E343" i="1"/>
  <c r="D343" i="1"/>
  <c r="C343" i="1"/>
  <c r="B343" i="1"/>
  <c r="M343" i="1" s="1"/>
  <c r="X342" i="1"/>
  <c r="W342" i="1"/>
  <c r="V342" i="1"/>
  <c r="U342" i="1"/>
  <c r="M342" i="1"/>
  <c r="G342" i="1"/>
  <c r="F342" i="1"/>
  <c r="E342" i="1"/>
  <c r="D342" i="1"/>
  <c r="C342" i="1"/>
  <c r="B342" i="1"/>
  <c r="X341" i="1"/>
  <c r="W341" i="1"/>
  <c r="V341" i="1"/>
  <c r="U341" i="1"/>
  <c r="G341" i="1"/>
  <c r="F341" i="1"/>
  <c r="E341" i="1"/>
  <c r="D341" i="1"/>
  <c r="C341" i="1"/>
  <c r="B341" i="1"/>
  <c r="M341" i="1" s="1"/>
  <c r="X340" i="1"/>
  <c r="W340" i="1"/>
  <c r="V340" i="1"/>
  <c r="U340" i="1"/>
  <c r="G340" i="1"/>
  <c r="F340" i="1"/>
  <c r="E340" i="1"/>
  <c r="D340" i="1"/>
  <c r="C340" i="1"/>
  <c r="B340" i="1"/>
  <c r="M340" i="1" s="1"/>
  <c r="X339" i="1"/>
  <c r="W339" i="1"/>
  <c r="V339" i="1"/>
  <c r="U339" i="1"/>
  <c r="M339" i="1"/>
  <c r="G339" i="1"/>
  <c r="F339" i="1"/>
  <c r="E339" i="1"/>
  <c r="D339" i="1"/>
  <c r="C339" i="1"/>
  <c r="B339" i="1"/>
  <c r="X338" i="1"/>
  <c r="W338" i="1"/>
  <c r="V338" i="1"/>
  <c r="U338" i="1"/>
  <c r="G338" i="1"/>
  <c r="F338" i="1"/>
  <c r="E338" i="1"/>
  <c r="D338" i="1"/>
  <c r="C338" i="1"/>
  <c r="B338" i="1"/>
  <c r="M338" i="1" s="1"/>
  <c r="X337" i="1"/>
  <c r="W337" i="1"/>
  <c r="V337" i="1"/>
  <c r="U337" i="1"/>
  <c r="M337" i="1"/>
  <c r="G337" i="1"/>
  <c r="F337" i="1"/>
  <c r="E337" i="1"/>
  <c r="D337" i="1"/>
  <c r="C337" i="1"/>
  <c r="B337" i="1"/>
  <c r="X336" i="1"/>
  <c r="W336" i="1"/>
  <c r="V336" i="1"/>
  <c r="U336" i="1"/>
  <c r="M336" i="1"/>
  <c r="G336" i="1"/>
  <c r="F336" i="1"/>
  <c r="E336" i="1"/>
  <c r="D336" i="1"/>
  <c r="C336" i="1"/>
  <c r="B336" i="1"/>
  <c r="X335" i="1"/>
  <c r="W335" i="1"/>
  <c r="V335" i="1"/>
  <c r="U335" i="1"/>
  <c r="G335" i="1"/>
  <c r="F335" i="1"/>
  <c r="E335" i="1"/>
  <c r="D335" i="1"/>
  <c r="C335" i="1"/>
  <c r="B335" i="1"/>
  <c r="M335" i="1" s="1"/>
  <c r="X334" i="1"/>
  <c r="W334" i="1"/>
  <c r="V334" i="1"/>
  <c r="U334" i="1"/>
  <c r="M334" i="1"/>
  <c r="G334" i="1"/>
  <c r="F334" i="1"/>
  <c r="E334" i="1"/>
  <c r="D334" i="1"/>
  <c r="C334" i="1"/>
  <c r="B334" i="1"/>
  <c r="X333" i="1"/>
  <c r="W333" i="1"/>
  <c r="V333" i="1"/>
  <c r="U333" i="1"/>
  <c r="G333" i="1"/>
  <c r="F333" i="1"/>
  <c r="E333" i="1"/>
  <c r="D333" i="1"/>
  <c r="C333" i="1"/>
  <c r="B333" i="1"/>
  <c r="M333" i="1" s="1"/>
  <c r="X332" i="1"/>
  <c r="W332" i="1"/>
  <c r="V332" i="1"/>
  <c r="U332" i="1"/>
  <c r="M332" i="1"/>
  <c r="G332" i="1"/>
  <c r="F332" i="1"/>
  <c r="E332" i="1"/>
  <c r="D332" i="1"/>
  <c r="C332" i="1"/>
  <c r="B332" i="1"/>
  <c r="X331" i="1"/>
  <c r="W331" i="1"/>
  <c r="V331" i="1"/>
  <c r="U331" i="1"/>
  <c r="G331" i="1"/>
  <c r="F331" i="1"/>
  <c r="E331" i="1"/>
  <c r="D331" i="1"/>
  <c r="C331" i="1"/>
  <c r="B331" i="1"/>
  <c r="M331" i="1" s="1"/>
  <c r="X330" i="1"/>
  <c r="W330" i="1"/>
  <c r="V330" i="1"/>
  <c r="U330" i="1"/>
  <c r="M330" i="1"/>
  <c r="G330" i="1"/>
  <c r="F330" i="1"/>
  <c r="E330" i="1"/>
  <c r="D330" i="1"/>
  <c r="C330" i="1"/>
  <c r="B330" i="1"/>
  <c r="X329" i="1"/>
  <c r="W329" i="1"/>
  <c r="V329" i="1"/>
  <c r="U329" i="1"/>
  <c r="G329" i="1"/>
  <c r="F329" i="1"/>
  <c r="E329" i="1"/>
  <c r="D329" i="1"/>
  <c r="C329" i="1"/>
  <c r="B329" i="1"/>
  <c r="M329" i="1" s="1"/>
  <c r="X328" i="1"/>
  <c r="W328" i="1"/>
  <c r="V328" i="1"/>
  <c r="U328" i="1"/>
  <c r="G328" i="1"/>
  <c r="F328" i="1"/>
  <c r="E328" i="1"/>
  <c r="D328" i="1"/>
  <c r="C328" i="1"/>
  <c r="B328" i="1"/>
  <c r="M328" i="1" s="1"/>
  <c r="X327" i="1"/>
  <c r="W327" i="1"/>
  <c r="V327" i="1"/>
  <c r="U327" i="1"/>
  <c r="G327" i="1"/>
  <c r="F327" i="1"/>
  <c r="E327" i="1"/>
  <c r="D327" i="1"/>
  <c r="C327" i="1"/>
  <c r="B327" i="1"/>
  <c r="M327" i="1" s="1"/>
  <c r="X326" i="1"/>
  <c r="W326" i="1"/>
  <c r="V326" i="1"/>
  <c r="U326" i="1"/>
  <c r="G326" i="1"/>
  <c r="F326" i="1"/>
  <c r="E326" i="1"/>
  <c r="D326" i="1"/>
  <c r="C326" i="1"/>
  <c r="B326" i="1"/>
  <c r="M326" i="1" s="1"/>
  <c r="X325" i="1"/>
  <c r="W325" i="1"/>
  <c r="V325" i="1"/>
  <c r="U325" i="1"/>
  <c r="M325" i="1"/>
  <c r="G325" i="1"/>
  <c r="F325" i="1"/>
  <c r="E325" i="1"/>
  <c r="D325" i="1"/>
  <c r="C325" i="1"/>
  <c r="B325" i="1"/>
  <c r="X324" i="1"/>
  <c r="W324" i="1"/>
  <c r="V324" i="1"/>
  <c r="U324" i="1"/>
  <c r="G324" i="1"/>
  <c r="F324" i="1"/>
  <c r="E324" i="1"/>
  <c r="D324" i="1"/>
  <c r="C324" i="1"/>
  <c r="B324" i="1"/>
  <c r="M324" i="1" s="1"/>
  <c r="X323" i="1"/>
  <c r="W323" i="1"/>
  <c r="V323" i="1"/>
  <c r="U323" i="1"/>
  <c r="M323" i="1"/>
  <c r="G323" i="1"/>
  <c r="F323" i="1"/>
  <c r="E323" i="1"/>
  <c r="D323" i="1"/>
  <c r="C323" i="1"/>
  <c r="B323" i="1"/>
  <c r="X322" i="1"/>
  <c r="W322" i="1"/>
  <c r="V322" i="1"/>
  <c r="U322" i="1"/>
  <c r="M322" i="1"/>
  <c r="G322" i="1"/>
  <c r="F322" i="1"/>
  <c r="E322" i="1"/>
  <c r="D322" i="1"/>
  <c r="C322" i="1"/>
  <c r="B322" i="1"/>
  <c r="X321" i="1"/>
  <c r="W321" i="1"/>
  <c r="V321" i="1"/>
  <c r="U321" i="1"/>
  <c r="G321" i="1"/>
  <c r="F321" i="1"/>
  <c r="E321" i="1"/>
  <c r="D321" i="1"/>
  <c r="C321" i="1"/>
  <c r="B321" i="1"/>
  <c r="M321" i="1" s="1"/>
  <c r="X320" i="1"/>
  <c r="W320" i="1"/>
  <c r="V320" i="1"/>
  <c r="U320" i="1"/>
  <c r="M320" i="1"/>
  <c r="G320" i="1"/>
  <c r="F320" i="1"/>
  <c r="E320" i="1"/>
  <c r="D320" i="1"/>
  <c r="C320" i="1"/>
  <c r="B320" i="1"/>
  <c r="X319" i="1"/>
  <c r="W319" i="1"/>
  <c r="V319" i="1"/>
  <c r="U319" i="1"/>
  <c r="G319" i="1"/>
  <c r="F319" i="1"/>
  <c r="E319" i="1"/>
  <c r="D319" i="1"/>
  <c r="C319" i="1"/>
  <c r="B319" i="1"/>
  <c r="M319" i="1" s="1"/>
  <c r="X318" i="1"/>
  <c r="W318" i="1"/>
  <c r="V318" i="1"/>
  <c r="U318" i="1"/>
  <c r="G318" i="1"/>
  <c r="F318" i="1"/>
  <c r="E318" i="1"/>
  <c r="D318" i="1"/>
  <c r="C318" i="1"/>
  <c r="B318" i="1"/>
  <c r="M318" i="1" s="1"/>
  <c r="X317" i="1"/>
  <c r="W317" i="1"/>
  <c r="V317" i="1"/>
  <c r="U317" i="1"/>
  <c r="M317" i="1"/>
  <c r="G317" i="1"/>
  <c r="F317" i="1"/>
  <c r="E317" i="1"/>
  <c r="D317" i="1"/>
  <c r="C317" i="1"/>
  <c r="B317" i="1"/>
  <c r="X316" i="1"/>
  <c r="W316" i="1"/>
  <c r="V316" i="1"/>
  <c r="U316" i="1"/>
  <c r="G316" i="1"/>
  <c r="F316" i="1"/>
  <c r="E316" i="1"/>
  <c r="D316" i="1"/>
  <c r="C316" i="1"/>
  <c r="B316" i="1"/>
  <c r="M316" i="1" s="1"/>
  <c r="X315" i="1"/>
  <c r="W315" i="1"/>
  <c r="V315" i="1"/>
  <c r="U315" i="1"/>
  <c r="G315" i="1"/>
  <c r="F315" i="1"/>
  <c r="E315" i="1"/>
  <c r="D315" i="1"/>
  <c r="C315" i="1"/>
  <c r="B315" i="1"/>
  <c r="M315" i="1" s="1"/>
  <c r="X314" i="1"/>
  <c r="W314" i="1"/>
  <c r="V314" i="1"/>
  <c r="U314" i="1"/>
  <c r="M314" i="1"/>
  <c r="G314" i="1"/>
  <c r="F314" i="1"/>
  <c r="E314" i="1"/>
  <c r="D314" i="1"/>
  <c r="C314" i="1"/>
  <c r="B314" i="1"/>
  <c r="X313" i="1"/>
  <c r="W313" i="1"/>
  <c r="V313" i="1"/>
  <c r="U313" i="1"/>
  <c r="M313" i="1"/>
  <c r="G313" i="1"/>
  <c r="F313" i="1"/>
  <c r="E313" i="1"/>
  <c r="D313" i="1"/>
  <c r="C313" i="1"/>
  <c r="B313" i="1"/>
  <c r="X312" i="1"/>
  <c r="W312" i="1"/>
  <c r="V312" i="1"/>
  <c r="U312" i="1"/>
  <c r="M312" i="1"/>
  <c r="G312" i="1"/>
  <c r="F312" i="1"/>
  <c r="E312" i="1"/>
  <c r="D312" i="1"/>
  <c r="C312" i="1"/>
  <c r="B312" i="1"/>
  <c r="X311" i="1"/>
  <c r="W311" i="1"/>
  <c r="V311" i="1"/>
  <c r="U311" i="1"/>
  <c r="M311" i="1"/>
  <c r="G311" i="1"/>
  <c r="F311" i="1"/>
  <c r="E311" i="1"/>
  <c r="D311" i="1"/>
  <c r="C311" i="1"/>
  <c r="B311" i="1"/>
  <c r="X310" i="1"/>
  <c r="W310" i="1"/>
  <c r="V310" i="1"/>
  <c r="U310" i="1"/>
  <c r="M310" i="1"/>
  <c r="G310" i="1"/>
  <c r="F310" i="1"/>
  <c r="E310" i="1"/>
  <c r="D310" i="1"/>
  <c r="C310" i="1"/>
  <c r="B310" i="1"/>
  <c r="X309" i="1"/>
  <c r="W309" i="1"/>
  <c r="V309" i="1"/>
  <c r="U309" i="1"/>
  <c r="M309" i="1"/>
  <c r="G309" i="1"/>
  <c r="F309" i="1"/>
  <c r="E309" i="1"/>
  <c r="D309" i="1"/>
  <c r="C309" i="1"/>
  <c r="B309" i="1"/>
  <c r="X308" i="1"/>
  <c r="W308" i="1"/>
  <c r="V308" i="1"/>
  <c r="U308" i="1"/>
  <c r="G308" i="1"/>
  <c r="F308" i="1"/>
  <c r="E308" i="1"/>
  <c r="D308" i="1"/>
  <c r="C308" i="1"/>
  <c r="B308" i="1"/>
  <c r="M308" i="1" s="1"/>
  <c r="X307" i="1"/>
  <c r="W307" i="1"/>
  <c r="V307" i="1"/>
  <c r="U307" i="1"/>
  <c r="G307" i="1"/>
  <c r="F307" i="1"/>
  <c r="E307" i="1"/>
  <c r="D307" i="1"/>
  <c r="C307" i="1"/>
  <c r="B307" i="1"/>
  <c r="M307" i="1" s="1"/>
  <c r="X306" i="1"/>
  <c r="W306" i="1"/>
  <c r="V306" i="1"/>
  <c r="U306" i="1"/>
  <c r="G306" i="1"/>
  <c r="F306" i="1"/>
  <c r="E306" i="1"/>
  <c r="D306" i="1"/>
  <c r="C306" i="1"/>
  <c r="B306" i="1"/>
  <c r="M306" i="1" s="1"/>
  <c r="X305" i="1"/>
  <c r="W305" i="1"/>
  <c r="V305" i="1"/>
  <c r="U305" i="1"/>
  <c r="G305" i="1"/>
  <c r="F305" i="1"/>
  <c r="E305" i="1"/>
  <c r="D305" i="1"/>
  <c r="C305" i="1"/>
  <c r="B305" i="1"/>
  <c r="M305" i="1" s="1"/>
  <c r="X304" i="1"/>
  <c r="W304" i="1"/>
  <c r="V304" i="1"/>
  <c r="U304" i="1"/>
  <c r="G304" i="1"/>
  <c r="F304" i="1"/>
  <c r="E304" i="1"/>
  <c r="D304" i="1"/>
  <c r="C304" i="1"/>
  <c r="B304" i="1"/>
  <c r="M304" i="1" s="1"/>
  <c r="X303" i="1"/>
  <c r="W303" i="1"/>
  <c r="V303" i="1"/>
  <c r="U303" i="1"/>
  <c r="M303" i="1"/>
  <c r="G303" i="1"/>
  <c r="F303" i="1"/>
  <c r="E303" i="1"/>
  <c r="D303" i="1"/>
  <c r="C303" i="1"/>
  <c r="B303" i="1"/>
  <c r="X302" i="1"/>
  <c r="W302" i="1"/>
  <c r="V302" i="1"/>
  <c r="U302" i="1"/>
  <c r="G302" i="1"/>
  <c r="F302" i="1"/>
  <c r="E302" i="1"/>
  <c r="D302" i="1"/>
  <c r="C302" i="1"/>
  <c r="B302" i="1"/>
  <c r="M302" i="1" s="1"/>
  <c r="X301" i="1"/>
  <c r="W301" i="1"/>
  <c r="V301" i="1"/>
  <c r="U301" i="1"/>
  <c r="M301" i="1"/>
  <c r="G301" i="1"/>
  <c r="F301" i="1"/>
  <c r="E301" i="1"/>
  <c r="D301" i="1"/>
  <c r="C301" i="1"/>
  <c r="B301" i="1"/>
  <c r="X300" i="1"/>
  <c r="W300" i="1"/>
  <c r="V300" i="1"/>
  <c r="U300" i="1"/>
  <c r="M300" i="1"/>
  <c r="G300" i="1"/>
  <c r="F300" i="1"/>
  <c r="E300" i="1"/>
  <c r="D300" i="1"/>
  <c r="C300" i="1"/>
  <c r="B300" i="1"/>
  <c r="X299" i="1"/>
  <c r="W299" i="1"/>
  <c r="V299" i="1"/>
  <c r="U299" i="1"/>
  <c r="M299" i="1"/>
  <c r="G299" i="1"/>
  <c r="F299" i="1"/>
  <c r="E299" i="1"/>
  <c r="D299" i="1"/>
  <c r="C299" i="1"/>
  <c r="B299" i="1"/>
  <c r="X298" i="1"/>
  <c r="W298" i="1"/>
  <c r="V298" i="1"/>
  <c r="U298" i="1"/>
  <c r="M298" i="1"/>
  <c r="G298" i="1"/>
  <c r="F298" i="1"/>
  <c r="E298" i="1"/>
  <c r="D298" i="1"/>
  <c r="C298" i="1"/>
  <c r="B298" i="1"/>
  <c r="X297" i="1"/>
  <c r="W297" i="1"/>
  <c r="V297" i="1"/>
  <c r="U297" i="1"/>
  <c r="G297" i="1"/>
  <c r="F297" i="1"/>
  <c r="E297" i="1"/>
  <c r="D297" i="1"/>
  <c r="C297" i="1"/>
  <c r="B297" i="1"/>
  <c r="M297" i="1" s="1"/>
  <c r="X296" i="1"/>
  <c r="W296" i="1"/>
  <c r="V296" i="1"/>
  <c r="U296" i="1"/>
  <c r="M296" i="1"/>
  <c r="G296" i="1"/>
  <c r="F296" i="1"/>
  <c r="E296" i="1"/>
  <c r="D296" i="1"/>
  <c r="C296" i="1"/>
  <c r="B296" i="1"/>
  <c r="X295" i="1"/>
  <c r="W295" i="1"/>
  <c r="V295" i="1"/>
  <c r="U295" i="1"/>
  <c r="G295" i="1"/>
  <c r="F295" i="1"/>
  <c r="E295" i="1"/>
  <c r="D295" i="1"/>
  <c r="C295" i="1"/>
  <c r="B295" i="1"/>
  <c r="M295" i="1" s="1"/>
  <c r="X294" i="1"/>
  <c r="W294" i="1"/>
  <c r="V294" i="1"/>
  <c r="U294" i="1"/>
  <c r="G294" i="1"/>
  <c r="F294" i="1"/>
  <c r="E294" i="1"/>
  <c r="D294" i="1"/>
  <c r="C294" i="1"/>
  <c r="B294" i="1"/>
  <c r="M294" i="1" s="1"/>
  <c r="X293" i="1"/>
  <c r="W293" i="1"/>
  <c r="V293" i="1"/>
  <c r="U293" i="1"/>
  <c r="G293" i="1"/>
  <c r="F293" i="1"/>
  <c r="E293" i="1"/>
  <c r="D293" i="1"/>
  <c r="C293" i="1"/>
  <c r="B293" i="1"/>
  <c r="M293" i="1" s="1"/>
  <c r="X292" i="1"/>
  <c r="W292" i="1"/>
  <c r="V292" i="1"/>
  <c r="U292" i="1"/>
  <c r="G292" i="1"/>
  <c r="F292" i="1"/>
  <c r="E292" i="1"/>
  <c r="D292" i="1"/>
  <c r="C292" i="1"/>
  <c r="B292" i="1"/>
  <c r="M292" i="1" s="1"/>
  <c r="X291" i="1"/>
  <c r="W291" i="1"/>
  <c r="V291" i="1"/>
  <c r="U291" i="1"/>
  <c r="M291" i="1"/>
  <c r="G291" i="1"/>
  <c r="F291" i="1"/>
  <c r="E291" i="1"/>
  <c r="D291" i="1"/>
  <c r="C291" i="1"/>
  <c r="B291" i="1"/>
  <c r="X290" i="1"/>
  <c r="W290" i="1"/>
  <c r="V290" i="1"/>
  <c r="U290" i="1"/>
  <c r="M290" i="1"/>
  <c r="G290" i="1"/>
  <c r="F290" i="1"/>
  <c r="E290" i="1"/>
  <c r="D290" i="1"/>
  <c r="C290" i="1"/>
  <c r="B290" i="1"/>
  <c r="X289" i="1"/>
  <c r="W289" i="1"/>
  <c r="V289" i="1"/>
  <c r="U289" i="1"/>
  <c r="M289" i="1"/>
  <c r="G289" i="1"/>
  <c r="F289" i="1"/>
  <c r="E289" i="1"/>
  <c r="D289" i="1"/>
  <c r="C289" i="1"/>
  <c r="B289" i="1"/>
  <c r="X288" i="1"/>
  <c r="W288" i="1"/>
  <c r="V288" i="1"/>
  <c r="U288" i="1"/>
  <c r="G288" i="1"/>
  <c r="F288" i="1"/>
  <c r="E288" i="1"/>
  <c r="D288" i="1"/>
  <c r="C288" i="1"/>
  <c r="B288" i="1"/>
  <c r="M288" i="1" s="1"/>
  <c r="X287" i="1"/>
  <c r="W287" i="1"/>
  <c r="V287" i="1"/>
  <c r="U287" i="1"/>
  <c r="M287" i="1"/>
  <c r="G287" i="1"/>
  <c r="F287" i="1"/>
  <c r="E287" i="1"/>
  <c r="D287" i="1"/>
  <c r="C287" i="1"/>
  <c r="B287" i="1"/>
  <c r="X286" i="1"/>
  <c r="W286" i="1"/>
  <c r="V286" i="1"/>
  <c r="U286" i="1"/>
  <c r="M286" i="1"/>
  <c r="G286" i="1"/>
  <c r="F286" i="1"/>
  <c r="E286" i="1"/>
  <c r="D286" i="1"/>
  <c r="C286" i="1"/>
  <c r="B286" i="1"/>
  <c r="X285" i="1"/>
  <c r="W285" i="1"/>
  <c r="V285" i="1"/>
  <c r="U285" i="1"/>
  <c r="G285" i="1"/>
  <c r="F285" i="1"/>
  <c r="E285" i="1"/>
  <c r="D285" i="1"/>
  <c r="C285" i="1"/>
  <c r="B285" i="1"/>
  <c r="M285" i="1" s="1"/>
  <c r="X284" i="1"/>
  <c r="W284" i="1"/>
  <c r="V284" i="1"/>
  <c r="U284" i="1"/>
  <c r="G284" i="1"/>
  <c r="F284" i="1"/>
  <c r="E284" i="1"/>
  <c r="D284" i="1"/>
  <c r="C284" i="1"/>
  <c r="B284" i="1"/>
  <c r="M284" i="1" s="1"/>
  <c r="X283" i="1"/>
  <c r="W283" i="1"/>
  <c r="V283" i="1"/>
  <c r="U283" i="1"/>
  <c r="G283" i="1"/>
  <c r="F283" i="1"/>
  <c r="E283" i="1"/>
  <c r="D283" i="1"/>
  <c r="C283" i="1"/>
  <c r="B283" i="1"/>
  <c r="M283" i="1" s="1"/>
  <c r="X282" i="1"/>
  <c r="W282" i="1"/>
  <c r="V282" i="1"/>
  <c r="U282" i="1"/>
  <c r="G282" i="1"/>
  <c r="F282" i="1"/>
  <c r="E282" i="1"/>
  <c r="D282" i="1"/>
  <c r="C282" i="1"/>
  <c r="B282" i="1"/>
  <c r="M282" i="1" s="1"/>
  <c r="X281" i="1"/>
  <c r="W281" i="1"/>
  <c r="V281" i="1"/>
  <c r="U281" i="1"/>
  <c r="M281" i="1"/>
  <c r="G281" i="1"/>
  <c r="F281" i="1"/>
  <c r="E281" i="1"/>
  <c r="D281" i="1"/>
  <c r="C281" i="1"/>
  <c r="B281" i="1"/>
  <c r="X280" i="1"/>
  <c r="W280" i="1"/>
  <c r="V280" i="1"/>
  <c r="U280" i="1"/>
  <c r="M280" i="1"/>
  <c r="G280" i="1"/>
  <c r="F280" i="1"/>
  <c r="E280" i="1"/>
  <c r="D280" i="1"/>
  <c r="C280" i="1"/>
  <c r="B280" i="1"/>
  <c r="X279" i="1"/>
  <c r="W279" i="1"/>
  <c r="V279" i="1"/>
  <c r="U279" i="1"/>
  <c r="M279" i="1"/>
  <c r="G279" i="1"/>
  <c r="F279" i="1"/>
  <c r="E279" i="1"/>
  <c r="D279" i="1"/>
  <c r="C279" i="1"/>
  <c r="B279" i="1"/>
  <c r="X278" i="1"/>
  <c r="W278" i="1"/>
  <c r="V278" i="1"/>
  <c r="U278" i="1"/>
  <c r="G278" i="1"/>
  <c r="F278" i="1"/>
  <c r="E278" i="1"/>
  <c r="D278" i="1"/>
  <c r="C278" i="1"/>
  <c r="B278" i="1"/>
  <c r="M278" i="1" s="1"/>
  <c r="X277" i="1"/>
  <c r="W277" i="1"/>
  <c r="V277" i="1"/>
  <c r="U277" i="1"/>
  <c r="M277" i="1"/>
  <c r="G277" i="1"/>
  <c r="F277" i="1"/>
  <c r="E277" i="1"/>
  <c r="D277" i="1"/>
  <c r="C277" i="1"/>
  <c r="B277" i="1"/>
  <c r="X276" i="1"/>
  <c r="W276" i="1"/>
  <c r="V276" i="1"/>
  <c r="U276" i="1"/>
  <c r="M276" i="1"/>
  <c r="G276" i="1"/>
  <c r="F276" i="1"/>
  <c r="E276" i="1"/>
  <c r="D276" i="1"/>
  <c r="C276" i="1"/>
  <c r="B276" i="1"/>
  <c r="X275" i="1"/>
  <c r="W275" i="1"/>
  <c r="V275" i="1"/>
  <c r="U275" i="1"/>
  <c r="G275" i="1"/>
  <c r="F275" i="1"/>
  <c r="E275" i="1"/>
  <c r="D275" i="1"/>
  <c r="C275" i="1"/>
  <c r="B275" i="1"/>
  <c r="M275" i="1" s="1"/>
  <c r="X274" i="1"/>
  <c r="W274" i="1"/>
  <c r="V274" i="1"/>
  <c r="U274" i="1"/>
  <c r="G274" i="1"/>
  <c r="F274" i="1"/>
  <c r="E274" i="1"/>
  <c r="D274" i="1"/>
  <c r="C274" i="1"/>
  <c r="B274" i="1"/>
  <c r="M274" i="1" s="1"/>
  <c r="X273" i="1"/>
  <c r="W273" i="1"/>
  <c r="V273" i="1"/>
  <c r="U273" i="1"/>
  <c r="G273" i="1"/>
  <c r="F273" i="1"/>
  <c r="E273" i="1"/>
  <c r="D273" i="1"/>
  <c r="C273" i="1"/>
  <c r="B273" i="1"/>
  <c r="M273" i="1" s="1"/>
  <c r="X272" i="1"/>
  <c r="W272" i="1"/>
  <c r="V272" i="1"/>
  <c r="U272" i="1"/>
  <c r="G272" i="1"/>
  <c r="F272" i="1"/>
  <c r="E272" i="1"/>
  <c r="D272" i="1"/>
  <c r="C272" i="1"/>
  <c r="B272" i="1"/>
  <c r="M272" i="1" s="1"/>
  <c r="X271" i="1"/>
  <c r="W271" i="1"/>
  <c r="V271" i="1"/>
  <c r="U271" i="1"/>
  <c r="G271" i="1"/>
  <c r="F271" i="1"/>
  <c r="E271" i="1"/>
  <c r="D271" i="1"/>
  <c r="C271" i="1"/>
  <c r="B271" i="1"/>
  <c r="M271" i="1" s="1"/>
  <c r="X270" i="1"/>
  <c r="W270" i="1"/>
  <c r="V270" i="1"/>
  <c r="U270" i="1"/>
  <c r="M270" i="1"/>
  <c r="G270" i="1"/>
  <c r="F270" i="1"/>
  <c r="E270" i="1"/>
  <c r="D270" i="1"/>
  <c r="C270" i="1"/>
  <c r="B270" i="1"/>
  <c r="X269" i="1"/>
  <c r="W269" i="1"/>
  <c r="V269" i="1"/>
  <c r="U269" i="1"/>
  <c r="G269" i="1"/>
  <c r="F269" i="1"/>
  <c r="E269" i="1"/>
  <c r="D269" i="1"/>
  <c r="C269" i="1"/>
  <c r="B269" i="1"/>
  <c r="M269" i="1" s="1"/>
  <c r="X268" i="1"/>
  <c r="W268" i="1"/>
  <c r="V268" i="1"/>
  <c r="U268" i="1"/>
  <c r="M268" i="1"/>
  <c r="G268" i="1"/>
  <c r="F268" i="1"/>
  <c r="E268" i="1"/>
  <c r="D268" i="1"/>
  <c r="C268" i="1"/>
  <c r="B268" i="1"/>
  <c r="X267" i="1"/>
  <c r="W267" i="1"/>
  <c r="V267" i="1"/>
  <c r="U267" i="1"/>
  <c r="M267" i="1"/>
  <c r="G267" i="1"/>
  <c r="F267" i="1"/>
  <c r="E267" i="1"/>
  <c r="D267" i="1"/>
  <c r="C267" i="1"/>
  <c r="B267" i="1"/>
  <c r="X266" i="1"/>
  <c r="W266" i="1"/>
  <c r="V266" i="1"/>
  <c r="U266" i="1"/>
  <c r="G266" i="1"/>
  <c r="F266" i="1"/>
  <c r="E266" i="1"/>
  <c r="D266" i="1"/>
  <c r="C266" i="1"/>
  <c r="B266" i="1"/>
  <c r="M266" i="1" s="1"/>
  <c r="X265" i="1"/>
  <c r="W265" i="1"/>
  <c r="V265" i="1"/>
  <c r="U265" i="1"/>
  <c r="M265" i="1"/>
  <c r="G265" i="1"/>
  <c r="F265" i="1"/>
  <c r="E265" i="1"/>
  <c r="D265" i="1"/>
  <c r="C265" i="1"/>
  <c r="B265" i="1"/>
  <c r="X264" i="1"/>
  <c r="W264" i="1"/>
  <c r="V264" i="1"/>
  <c r="U264" i="1"/>
  <c r="G264" i="1"/>
  <c r="F264" i="1"/>
  <c r="E264" i="1"/>
  <c r="D264" i="1"/>
  <c r="C264" i="1"/>
  <c r="B264" i="1"/>
  <c r="M264" i="1" s="1"/>
  <c r="X263" i="1"/>
  <c r="W263" i="1"/>
  <c r="V263" i="1"/>
  <c r="U263" i="1"/>
  <c r="M263" i="1"/>
  <c r="G263" i="1"/>
  <c r="F263" i="1"/>
  <c r="E263" i="1"/>
  <c r="D263" i="1"/>
  <c r="C263" i="1"/>
  <c r="B263" i="1"/>
  <c r="X262" i="1"/>
  <c r="W262" i="1"/>
  <c r="V262" i="1"/>
  <c r="U262" i="1"/>
  <c r="G262" i="1"/>
  <c r="F262" i="1"/>
  <c r="E262" i="1"/>
  <c r="D262" i="1"/>
  <c r="C262" i="1"/>
  <c r="B262" i="1"/>
  <c r="M262" i="1" s="1"/>
  <c r="X261" i="1"/>
  <c r="W261" i="1"/>
  <c r="V261" i="1"/>
  <c r="U261" i="1"/>
  <c r="M261" i="1"/>
  <c r="G261" i="1"/>
  <c r="F261" i="1"/>
  <c r="E261" i="1"/>
  <c r="D261" i="1"/>
  <c r="C261" i="1"/>
  <c r="B261" i="1"/>
  <c r="X260" i="1"/>
  <c r="W260" i="1"/>
  <c r="V260" i="1"/>
  <c r="U260" i="1"/>
  <c r="M260" i="1"/>
  <c r="G260" i="1"/>
  <c r="F260" i="1"/>
  <c r="E260" i="1"/>
  <c r="D260" i="1"/>
  <c r="C260" i="1"/>
  <c r="B260" i="1"/>
  <c r="X259" i="1"/>
  <c r="W259" i="1"/>
  <c r="V259" i="1"/>
  <c r="U259" i="1"/>
  <c r="G259" i="1"/>
  <c r="F259" i="1"/>
  <c r="E259" i="1"/>
  <c r="D259" i="1"/>
  <c r="C259" i="1"/>
  <c r="B259" i="1"/>
  <c r="M259" i="1" s="1"/>
  <c r="X258" i="1"/>
  <c r="W258" i="1"/>
  <c r="V258" i="1"/>
  <c r="U258" i="1"/>
  <c r="G258" i="1"/>
  <c r="F258" i="1"/>
  <c r="E258" i="1"/>
  <c r="D258" i="1"/>
  <c r="C258" i="1"/>
  <c r="B258" i="1"/>
  <c r="M258" i="1" s="1"/>
  <c r="X257" i="1"/>
  <c r="W257" i="1"/>
  <c r="V257" i="1"/>
  <c r="U257" i="1"/>
  <c r="M257" i="1"/>
  <c r="G257" i="1"/>
  <c r="F257" i="1"/>
  <c r="E257" i="1"/>
  <c r="D257" i="1"/>
  <c r="C257" i="1"/>
  <c r="B257" i="1"/>
  <c r="X256" i="1"/>
  <c r="W256" i="1"/>
  <c r="V256" i="1"/>
  <c r="U256" i="1"/>
  <c r="G256" i="1"/>
  <c r="F256" i="1"/>
  <c r="E256" i="1"/>
  <c r="D256" i="1"/>
  <c r="C256" i="1"/>
  <c r="B256" i="1"/>
  <c r="M256" i="1" s="1"/>
  <c r="X255" i="1"/>
  <c r="W255" i="1"/>
  <c r="V255" i="1"/>
  <c r="U255" i="1"/>
  <c r="G255" i="1"/>
  <c r="F255" i="1"/>
  <c r="E255" i="1"/>
  <c r="D255" i="1"/>
  <c r="C255" i="1"/>
  <c r="B255" i="1"/>
  <c r="M255" i="1" s="1"/>
  <c r="X254" i="1"/>
  <c r="W254" i="1"/>
  <c r="V254" i="1"/>
  <c r="U254" i="1"/>
  <c r="M254" i="1"/>
  <c r="G254" i="1"/>
  <c r="F254" i="1"/>
  <c r="E254" i="1"/>
  <c r="D254" i="1"/>
  <c r="C254" i="1"/>
  <c r="B254" i="1"/>
  <c r="X253" i="1"/>
  <c r="W253" i="1"/>
  <c r="V253" i="1"/>
  <c r="U253" i="1"/>
  <c r="M253" i="1"/>
  <c r="G253" i="1"/>
  <c r="F253" i="1"/>
  <c r="E253" i="1"/>
  <c r="D253" i="1"/>
  <c r="C253" i="1"/>
  <c r="B253" i="1"/>
  <c r="X252" i="1"/>
  <c r="W252" i="1"/>
  <c r="V252" i="1"/>
  <c r="U252" i="1"/>
  <c r="M252" i="1"/>
  <c r="G252" i="1"/>
  <c r="F252" i="1"/>
  <c r="E252" i="1"/>
  <c r="D252" i="1"/>
  <c r="C252" i="1"/>
  <c r="B252" i="1"/>
  <c r="X251" i="1"/>
  <c r="W251" i="1"/>
  <c r="V251" i="1"/>
  <c r="U251" i="1"/>
  <c r="G251" i="1"/>
  <c r="F251" i="1"/>
  <c r="E251" i="1"/>
  <c r="D251" i="1"/>
  <c r="C251" i="1"/>
  <c r="B251" i="1"/>
  <c r="M251" i="1" s="1"/>
  <c r="X250" i="1"/>
  <c r="W250" i="1"/>
  <c r="V250" i="1"/>
  <c r="U250" i="1"/>
  <c r="M250" i="1"/>
  <c r="G250" i="1"/>
  <c r="F250" i="1"/>
  <c r="E250" i="1"/>
  <c r="D250" i="1"/>
  <c r="C250" i="1"/>
  <c r="B250" i="1"/>
  <c r="X249" i="1"/>
  <c r="W249" i="1"/>
  <c r="V249" i="1"/>
  <c r="U249" i="1"/>
  <c r="M249" i="1"/>
  <c r="G249" i="1"/>
  <c r="F249" i="1"/>
  <c r="E249" i="1"/>
  <c r="D249" i="1"/>
  <c r="C249" i="1"/>
  <c r="B249" i="1"/>
  <c r="X248" i="1"/>
  <c r="W248" i="1"/>
  <c r="V248" i="1"/>
  <c r="U248" i="1"/>
  <c r="G248" i="1"/>
  <c r="F248" i="1"/>
  <c r="E248" i="1"/>
  <c r="D248" i="1"/>
  <c r="C248" i="1"/>
  <c r="B248" i="1"/>
  <c r="M248" i="1" s="1"/>
  <c r="X247" i="1"/>
  <c r="W247" i="1"/>
  <c r="V247" i="1"/>
  <c r="U247" i="1"/>
  <c r="G247" i="1"/>
  <c r="F247" i="1"/>
  <c r="E247" i="1"/>
  <c r="D247" i="1"/>
  <c r="C247" i="1"/>
  <c r="B247" i="1"/>
  <c r="M247" i="1" s="1"/>
  <c r="X246" i="1"/>
  <c r="W246" i="1"/>
  <c r="V246" i="1"/>
  <c r="U246" i="1"/>
  <c r="M246" i="1"/>
  <c r="G246" i="1"/>
  <c r="F246" i="1"/>
  <c r="E246" i="1"/>
  <c r="D246" i="1"/>
  <c r="C246" i="1"/>
  <c r="B246" i="1"/>
  <c r="X245" i="1"/>
  <c r="W245" i="1"/>
  <c r="V245" i="1"/>
  <c r="U245" i="1"/>
  <c r="G245" i="1"/>
  <c r="F245" i="1"/>
  <c r="E245" i="1"/>
  <c r="D245" i="1"/>
  <c r="C245" i="1"/>
  <c r="B245" i="1"/>
  <c r="M245" i="1" s="1"/>
  <c r="X244" i="1"/>
  <c r="W244" i="1"/>
  <c r="V244" i="1"/>
  <c r="U244" i="1"/>
  <c r="M244" i="1"/>
  <c r="G244" i="1"/>
  <c r="F244" i="1"/>
  <c r="E244" i="1"/>
  <c r="D244" i="1"/>
  <c r="C244" i="1"/>
  <c r="B244" i="1"/>
  <c r="X243" i="1"/>
  <c r="W243" i="1"/>
  <c r="V243" i="1"/>
  <c r="U243" i="1"/>
  <c r="M243" i="1"/>
  <c r="G243" i="1"/>
  <c r="F243" i="1"/>
  <c r="E243" i="1"/>
  <c r="D243" i="1"/>
  <c r="C243" i="1"/>
  <c r="B243" i="1"/>
  <c r="X242" i="1"/>
  <c r="W242" i="1"/>
  <c r="V242" i="1"/>
  <c r="U242" i="1"/>
  <c r="M242" i="1"/>
  <c r="G242" i="1"/>
  <c r="F242" i="1"/>
  <c r="E242" i="1"/>
  <c r="D242" i="1"/>
  <c r="C242" i="1"/>
  <c r="B242" i="1"/>
  <c r="X241" i="1"/>
  <c r="W241" i="1"/>
  <c r="V241" i="1"/>
  <c r="U241" i="1"/>
  <c r="M241" i="1"/>
  <c r="G241" i="1"/>
  <c r="F241" i="1"/>
  <c r="E241" i="1"/>
  <c r="D241" i="1"/>
  <c r="C241" i="1"/>
  <c r="B241" i="1"/>
  <c r="X240" i="1"/>
  <c r="W240" i="1"/>
  <c r="V240" i="1"/>
  <c r="U240" i="1"/>
  <c r="G240" i="1"/>
  <c r="F240" i="1"/>
  <c r="E240" i="1"/>
  <c r="D240" i="1"/>
  <c r="C240" i="1"/>
  <c r="B240" i="1"/>
  <c r="M240" i="1" s="1"/>
  <c r="X239" i="1"/>
  <c r="W239" i="1"/>
  <c r="V239" i="1"/>
  <c r="U239" i="1"/>
  <c r="G239" i="1"/>
  <c r="F239" i="1"/>
  <c r="E239" i="1"/>
  <c r="D239" i="1"/>
  <c r="C239" i="1"/>
  <c r="B239" i="1"/>
  <c r="M239" i="1" s="1"/>
  <c r="X238" i="1"/>
  <c r="W238" i="1"/>
  <c r="V238" i="1"/>
  <c r="U238" i="1"/>
  <c r="G238" i="1"/>
  <c r="F238" i="1"/>
  <c r="E238" i="1"/>
  <c r="D238" i="1"/>
  <c r="C238" i="1"/>
  <c r="B238" i="1"/>
  <c r="M238" i="1" s="1"/>
  <c r="X237" i="1"/>
  <c r="W237" i="1"/>
  <c r="V237" i="1"/>
  <c r="U237" i="1"/>
  <c r="G237" i="1"/>
  <c r="F237" i="1"/>
  <c r="E237" i="1"/>
  <c r="D237" i="1"/>
  <c r="C237" i="1"/>
  <c r="B237" i="1"/>
  <c r="M237" i="1" s="1"/>
  <c r="X236" i="1"/>
  <c r="W236" i="1"/>
  <c r="V236" i="1"/>
  <c r="U236" i="1"/>
  <c r="G236" i="1"/>
  <c r="F236" i="1"/>
  <c r="E236" i="1"/>
  <c r="D236" i="1"/>
  <c r="C236" i="1"/>
  <c r="B236" i="1"/>
  <c r="M236" i="1" s="1"/>
  <c r="X235" i="1"/>
  <c r="W235" i="1"/>
  <c r="V235" i="1"/>
  <c r="U235" i="1"/>
  <c r="G235" i="1"/>
  <c r="F235" i="1"/>
  <c r="E235" i="1"/>
  <c r="D235" i="1"/>
  <c r="C235" i="1"/>
  <c r="B235" i="1"/>
  <c r="M235" i="1" s="1"/>
  <c r="X234" i="1"/>
  <c r="W234" i="1"/>
  <c r="V234" i="1"/>
  <c r="U234" i="1"/>
  <c r="M234" i="1"/>
  <c r="G234" i="1"/>
  <c r="F234" i="1"/>
  <c r="E234" i="1"/>
  <c r="D234" i="1"/>
  <c r="C234" i="1"/>
  <c r="B234" i="1"/>
  <c r="X233" i="1"/>
  <c r="W233" i="1"/>
  <c r="V233" i="1"/>
  <c r="U233" i="1"/>
  <c r="M233" i="1"/>
  <c r="G233" i="1"/>
  <c r="F233" i="1"/>
  <c r="E233" i="1"/>
  <c r="D233" i="1"/>
  <c r="C233" i="1"/>
  <c r="B233" i="1"/>
  <c r="X232" i="1"/>
  <c r="W232" i="1"/>
  <c r="V232" i="1"/>
  <c r="U232" i="1"/>
  <c r="M232" i="1"/>
  <c r="G232" i="1"/>
  <c r="F232" i="1"/>
  <c r="E232" i="1"/>
  <c r="D232" i="1"/>
  <c r="C232" i="1"/>
  <c r="B232" i="1"/>
  <c r="X231" i="1"/>
  <c r="W231" i="1"/>
  <c r="V231" i="1"/>
  <c r="U231" i="1"/>
  <c r="M231" i="1"/>
  <c r="G231" i="1"/>
  <c r="F231" i="1"/>
  <c r="E231" i="1"/>
  <c r="D231" i="1"/>
  <c r="C231" i="1"/>
  <c r="B231" i="1"/>
  <c r="X230" i="1"/>
  <c r="W230" i="1"/>
  <c r="V230" i="1"/>
  <c r="U230" i="1"/>
  <c r="M230" i="1"/>
  <c r="G230" i="1"/>
  <c r="F230" i="1"/>
  <c r="E230" i="1"/>
  <c r="D230" i="1"/>
  <c r="C230" i="1"/>
  <c r="B230" i="1"/>
  <c r="X229" i="1"/>
  <c r="W229" i="1"/>
  <c r="V229" i="1"/>
  <c r="U229" i="1"/>
  <c r="G229" i="1"/>
  <c r="F229" i="1"/>
  <c r="E229" i="1"/>
  <c r="D229" i="1"/>
  <c r="C229" i="1"/>
  <c r="B229" i="1"/>
  <c r="M229" i="1" s="1"/>
  <c r="X228" i="1"/>
  <c r="W228" i="1"/>
  <c r="V228" i="1"/>
  <c r="U228" i="1"/>
  <c r="G228" i="1"/>
  <c r="F228" i="1"/>
  <c r="E228" i="1"/>
  <c r="D228" i="1"/>
  <c r="C228" i="1"/>
  <c r="B228" i="1"/>
  <c r="M228" i="1" s="1"/>
  <c r="X227" i="1"/>
  <c r="W227" i="1"/>
  <c r="V227" i="1"/>
  <c r="U227" i="1"/>
  <c r="G227" i="1"/>
  <c r="F227" i="1"/>
  <c r="E227" i="1"/>
  <c r="D227" i="1"/>
  <c r="C227" i="1"/>
  <c r="B227" i="1"/>
  <c r="M227" i="1" s="1"/>
  <c r="X226" i="1"/>
  <c r="W226" i="1"/>
  <c r="V226" i="1"/>
  <c r="U226" i="1"/>
  <c r="G226" i="1"/>
  <c r="F226" i="1"/>
  <c r="E226" i="1"/>
  <c r="D226" i="1"/>
  <c r="C226" i="1"/>
  <c r="B226" i="1"/>
  <c r="M226" i="1" s="1"/>
  <c r="X225" i="1"/>
  <c r="W225" i="1"/>
  <c r="V225" i="1"/>
  <c r="U225" i="1"/>
  <c r="M225" i="1"/>
  <c r="G225" i="1"/>
  <c r="F225" i="1"/>
  <c r="E225" i="1"/>
  <c r="D225" i="1"/>
  <c r="C225" i="1"/>
  <c r="B225" i="1"/>
  <c r="X224" i="1"/>
  <c r="W224" i="1"/>
  <c r="V224" i="1"/>
  <c r="U224" i="1"/>
  <c r="M224" i="1"/>
  <c r="G224" i="1"/>
  <c r="F224" i="1"/>
  <c r="E224" i="1"/>
  <c r="D224" i="1"/>
  <c r="C224" i="1"/>
  <c r="B224" i="1"/>
  <c r="X223" i="1"/>
  <c r="W223" i="1"/>
  <c r="V223" i="1"/>
  <c r="U223" i="1"/>
  <c r="M223" i="1"/>
  <c r="G223" i="1"/>
  <c r="F223" i="1"/>
  <c r="E223" i="1"/>
  <c r="D223" i="1"/>
  <c r="C223" i="1"/>
  <c r="B223" i="1"/>
  <c r="X222" i="1"/>
  <c r="W222" i="1"/>
  <c r="V222" i="1"/>
  <c r="U222" i="1"/>
  <c r="M222" i="1"/>
  <c r="G222" i="1"/>
  <c r="F222" i="1"/>
  <c r="E222" i="1"/>
  <c r="D222" i="1"/>
  <c r="C222" i="1"/>
  <c r="B222" i="1"/>
  <c r="X221" i="1"/>
  <c r="W221" i="1"/>
  <c r="V221" i="1"/>
  <c r="U221" i="1"/>
  <c r="M221" i="1"/>
  <c r="G221" i="1"/>
  <c r="F221" i="1"/>
  <c r="E221" i="1"/>
  <c r="D221" i="1"/>
  <c r="C221" i="1"/>
  <c r="B221" i="1"/>
  <c r="X220" i="1"/>
  <c r="W220" i="1"/>
  <c r="V220" i="1"/>
  <c r="U220" i="1"/>
  <c r="M220" i="1"/>
  <c r="G220" i="1"/>
  <c r="F220" i="1"/>
  <c r="E220" i="1"/>
  <c r="D220" i="1"/>
  <c r="C220" i="1"/>
  <c r="B220" i="1"/>
  <c r="X219" i="1"/>
  <c r="W219" i="1"/>
  <c r="V219" i="1"/>
  <c r="U219" i="1"/>
  <c r="G219" i="1"/>
  <c r="F219" i="1"/>
  <c r="E219" i="1"/>
  <c r="D219" i="1"/>
  <c r="C219" i="1"/>
  <c r="B219" i="1"/>
  <c r="M219" i="1" s="1"/>
  <c r="X218" i="1"/>
  <c r="W218" i="1"/>
  <c r="V218" i="1"/>
  <c r="U218" i="1"/>
  <c r="G218" i="1"/>
  <c r="F218" i="1"/>
  <c r="E218" i="1"/>
  <c r="D218" i="1"/>
  <c r="C218" i="1"/>
  <c r="B218" i="1"/>
  <c r="M218" i="1" s="1"/>
  <c r="X217" i="1"/>
  <c r="W217" i="1"/>
  <c r="V217" i="1"/>
  <c r="U217" i="1"/>
  <c r="G217" i="1"/>
  <c r="F217" i="1"/>
  <c r="E217" i="1"/>
  <c r="D217" i="1"/>
  <c r="C217" i="1"/>
  <c r="B217" i="1"/>
  <c r="M217" i="1" s="1"/>
  <c r="X216" i="1"/>
  <c r="W216" i="1"/>
  <c r="V216" i="1"/>
  <c r="U216" i="1"/>
  <c r="G216" i="1"/>
  <c r="F216" i="1"/>
  <c r="E216" i="1"/>
  <c r="D216" i="1"/>
  <c r="C216" i="1"/>
  <c r="B216" i="1"/>
  <c r="M216" i="1" s="1"/>
  <c r="X215" i="1"/>
  <c r="W215" i="1"/>
  <c r="V215" i="1"/>
  <c r="U215" i="1"/>
  <c r="G215" i="1"/>
  <c r="F215" i="1"/>
  <c r="E215" i="1"/>
  <c r="D215" i="1"/>
  <c r="C215" i="1"/>
  <c r="B215" i="1"/>
  <c r="M215" i="1" s="1"/>
  <c r="X214" i="1"/>
  <c r="W214" i="1"/>
  <c r="V214" i="1"/>
  <c r="U214" i="1"/>
  <c r="G214" i="1"/>
  <c r="F214" i="1"/>
  <c r="E214" i="1"/>
  <c r="D214" i="1"/>
  <c r="C214" i="1"/>
  <c r="B214" i="1"/>
  <c r="M214" i="1" s="1"/>
  <c r="X213" i="1"/>
  <c r="W213" i="1"/>
  <c r="V213" i="1"/>
  <c r="U213" i="1"/>
  <c r="M213" i="1"/>
  <c r="G213" i="1"/>
  <c r="F213" i="1"/>
  <c r="E213" i="1"/>
  <c r="D213" i="1"/>
  <c r="C213" i="1"/>
  <c r="B213" i="1"/>
  <c r="X212" i="1"/>
  <c r="W212" i="1"/>
  <c r="V212" i="1"/>
  <c r="U212" i="1"/>
  <c r="M212" i="1"/>
  <c r="G212" i="1"/>
  <c r="F212" i="1"/>
  <c r="E212" i="1"/>
  <c r="D212" i="1"/>
  <c r="C212" i="1"/>
  <c r="B212" i="1"/>
  <c r="X211" i="1"/>
  <c r="W211" i="1"/>
  <c r="V211" i="1"/>
  <c r="U211" i="1"/>
  <c r="M211" i="1"/>
  <c r="G211" i="1"/>
  <c r="F211" i="1"/>
  <c r="E211" i="1"/>
  <c r="D211" i="1"/>
  <c r="C211" i="1"/>
  <c r="B211" i="1"/>
  <c r="X210" i="1"/>
  <c r="W210" i="1"/>
  <c r="V210" i="1"/>
  <c r="U210" i="1"/>
  <c r="M210" i="1"/>
  <c r="G210" i="1"/>
  <c r="F210" i="1"/>
  <c r="E210" i="1"/>
  <c r="D210" i="1"/>
  <c r="C210" i="1"/>
  <c r="B210" i="1"/>
  <c r="X209" i="1"/>
  <c r="W209" i="1"/>
  <c r="V209" i="1"/>
  <c r="U209" i="1"/>
  <c r="G209" i="1"/>
  <c r="F209" i="1"/>
  <c r="E209" i="1"/>
  <c r="D209" i="1"/>
  <c r="C209" i="1"/>
  <c r="B209" i="1"/>
  <c r="M209" i="1" s="1"/>
  <c r="X208" i="1"/>
  <c r="W208" i="1"/>
  <c r="V208" i="1"/>
  <c r="U208" i="1"/>
  <c r="M208" i="1"/>
  <c r="G208" i="1"/>
  <c r="F208" i="1"/>
  <c r="E208" i="1"/>
  <c r="D208" i="1"/>
  <c r="C208" i="1"/>
  <c r="B208" i="1"/>
  <c r="X207" i="1"/>
  <c r="W207" i="1"/>
  <c r="V207" i="1"/>
  <c r="U207" i="1"/>
  <c r="G207" i="1"/>
  <c r="F207" i="1"/>
  <c r="E207" i="1"/>
  <c r="D207" i="1"/>
  <c r="C207" i="1"/>
  <c r="B207" i="1"/>
  <c r="M207" i="1" s="1"/>
  <c r="X206" i="1"/>
  <c r="W206" i="1"/>
  <c r="V206" i="1"/>
  <c r="U206" i="1"/>
  <c r="G206" i="1"/>
  <c r="F206" i="1"/>
  <c r="E206" i="1"/>
  <c r="D206" i="1"/>
  <c r="C206" i="1"/>
  <c r="B206" i="1"/>
  <c r="M206" i="1" s="1"/>
  <c r="X205" i="1"/>
  <c r="W205" i="1"/>
  <c r="V205" i="1"/>
  <c r="U205" i="1"/>
  <c r="G205" i="1"/>
  <c r="F205" i="1"/>
  <c r="E205" i="1"/>
  <c r="D205" i="1"/>
  <c r="C205" i="1"/>
  <c r="B205" i="1"/>
  <c r="M205" i="1" s="1"/>
  <c r="X204" i="1"/>
  <c r="W204" i="1"/>
  <c r="V204" i="1"/>
  <c r="U204" i="1"/>
  <c r="M204" i="1"/>
  <c r="G204" i="1"/>
  <c r="F204" i="1"/>
  <c r="E204" i="1"/>
  <c r="D204" i="1"/>
  <c r="C204" i="1"/>
  <c r="B204" i="1"/>
  <c r="X203" i="1"/>
  <c r="W203" i="1"/>
  <c r="V203" i="1"/>
  <c r="U203" i="1"/>
  <c r="M203" i="1"/>
  <c r="G203" i="1"/>
  <c r="F203" i="1"/>
  <c r="E203" i="1"/>
  <c r="D203" i="1"/>
  <c r="C203" i="1"/>
  <c r="B203" i="1"/>
  <c r="X202" i="1"/>
  <c r="W202" i="1"/>
  <c r="V202" i="1"/>
  <c r="U202" i="1"/>
  <c r="G202" i="1"/>
  <c r="F202" i="1"/>
  <c r="E202" i="1"/>
  <c r="D202" i="1"/>
  <c r="C202" i="1"/>
  <c r="B202" i="1"/>
  <c r="M202" i="1" s="1"/>
  <c r="X201" i="1"/>
  <c r="W201" i="1"/>
  <c r="V201" i="1"/>
  <c r="U201" i="1"/>
  <c r="M201" i="1"/>
  <c r="G201" i="1"/>
  <c r="F201" i="1"/>
  <c r="E201" i="1"/>
  <c r="D201" i="1"/>
  <c r="C201" i="1"/>
  <c r="B201" i="1"/>
  <c r="X200" i="1"/>
  <c r="W200" i="1"/>
  <c r="V200" i="1"/>
  <c r="U200" i="1"/>
  <c r="M200" i="1"/>
  <c r="G200" i="1"/>
  <c r="F200" i="1"/>
  <c r="E200" i="1"/>
  <c r="D200" i="1"/>
  <c r="C200" i="1"/>
  <c r="B200" i="1"/>
  <c r="X199" i="1"/>
  <c r="W199" i="1"/>
  <c r="V199" i="1"/>
  <c r="U199" i="1"/>
  <c r="M199" i="1"/>
  <c r="G199" i="1"/>
  <c r="F199" i="1"/>
  <c r="E199" i="1"/>
  <c r="D199" i="1"/>
  <c r="C199" i="1"/>
  <c r="B199" i="1"/>
  <c r="X198" i="1"/>
  <c r="W198" i="1"/>
  <c r="V198" i="1"/>
  <c r="U198" i="1"/>
  <c r="G198" i="1"/>
  <c r="F198" i="1"/>
  <c r="E198" i="1"/>
  <c r="D198" i="1"/>
  <c r="C198" i="1"/>
  <c r="B198" i="1"/>
  <c r="M198" i="1" s="1"/>
  <c r="X197" i="1"/>
  <c r="W197" i="1"/>
  <c r="V197" i="1"/>
  <c r="U197" i="1"/>
  <c r="G197" i="1"/>
  <c r="F197" i="1"/>
  <c r="E197" i="1"/>
  <c r="D197" i="1"/>
  <c r="C197" i="1"/>
  <c r="B197" i="1"/>
  <c r="M197" i="1" s="1"/>
  <c r="X196" i="1"/>
  <c r="W196" i="1"/>
  <c r="V196" i="1"/>
  <c r="U196" i="1"/>
  <c r="M196" i="1"/>
  <c r="G196" i="1"/>
  <c r="F196" i="1"/>
  <c r="E196" i="1"/>
  <c r="D196" i="1"/>
  <c r="C196" i="1"/>
  <c r="B196" i="1"/>
  <c r="X195" i="1"/>
  <c r="W195" i="1"/>
  <c r="V195" i="1"/>
  <c r="U195" i="1"/>
  <c r="G195" i="1"/>
  <c r="F195" i="1"/>
  <c r="E195" i="1"/>
  <c r="D195" i="1"/>
  <c r="C195" i="1"/>
  <c r="B195" i="1"/>
  <c r="M195" i="1" s="1"/>
  <c r="X194" i="1"/>
  <c r="W194" i="1"/>
  <c r="V194" i="1"/>
  <c r="U194" i="1"/>
  <c r="G194" i="1"/>
  <c r="F194" i="1"/>
  <c r="E194" i="1"/>
  <c r="D194" i="1"/>
  <c r="C194" i="1"/>
  <c r="B194" i="1"/>
  <c r="M194" i="1" s="1"/>
  <c r="X193" i="1"/>
  <c r="W193" i="1"/>
  <c r="V193" i="1"/>
  <c r="U193" i="1"/>
  <c r="G193" i="1"/>
  <c r="F193" i="1"/>
  <c r="E193" i="1"/>
  <c r="D193" i="1"/>
  <c r="C193" i="1"/>
  <c r="B193" i="1"/>
  <c r="M193" i="1" s="1"/>
  <c r="X192" i="1"/>
  <c r="W192" i="1"/>
  <c r="V192" i="1"/>
  <c r="U192" i="1"/>
  <c r="M192" i="1"/>
  <c r="G192" i="1"/>
  <c r="F192" i="1"/>
  <c r="E192" i="1"/>
  <c r="D192" i="1"/>
  <c r="C192" i="1"/>
  <c r="B192" i="1"/>
  <c r="X191" i="1"/>
  <c r="W191" i="1"/>
  <c r="V191" i="1"/>
  <c r="U191" i="1"/>
  <c r="M191" i="1"/>
  <c r="G191" i="1"/>
  <c r="F191" i="1"/>
  <c r="E191" i="1"/>
  <c r="D191" i="1"/>
  <c r="C191" i="1"/>
  <c r="B191" i="1"/>
  <c r="X190" i="1"/>
  <c r="W190" i="1"/>
  <c r="V190" i="1"/>
  <c r="U190" i="1"/>
  <c r="G190" i="1"/>
  <c r="F190" i="1"/>
  <c r="E190" i="1"/>
  <c r="D190" i="1"/>
  <c r="C190" i="1"/>
  <c r="B190" i="1"/>
  <c r="M190" i="1" s="1"/>
  <c r="X189" i="1"/>
  <c r="W189" i="1"/>
  <c r="V189" i="1"/>
  <c r="U189" i="1"/>
  <c r="G189" i="1"/>
  <c r="F189" i="1"/>
  <c r="E189" i="1"/>
  <c r="D189" i="1"/>
  <c r="C189" i="1"/>
  <c r="B189" i="1"/>
  <c r="M189" i="1" s="1"/>
  <c r="X188" i="1"/>
  <c r="W188" i="1"/>
  <c r="V188" i="1"/>
  <c r="U188" i="1"/>
  <c r="G188" i="1"/>
  <c r="F188" i="1"/>
  <c r="E188" i="1"/>
  <c r="D188" i="1"/>
  <c r="C188" i="1"/>
  <c r="B188" i="1"/>
  <c r="M188" i="1" s="1"/>
  <c r="X187" i="1"/>
  <c r="W187" i="1"/>
  <c r="V187" i="1"/>
  <c r="U187" i="1"/>
  <c r="M187" i="1"/>
  <c r="G187" i="1"/>
  <c r="F187" i="1"/>
  <c r="E187" i="1"/>
  <c r="D187" i="1"/>
  <c r="C187" i="1"/>
  <c r="B187" i="1"/>
  <c r="X186" i="1"/>
  <c r="W186" i="1"/>
  <c r="V186" i="1"/>
  <c r="U186" i="1"/>
  <c r="G186" i="1"/>
  <c r="F186" i="1"/>
  <c r="E186" i="1"/>
  <c r="D186" i="1"/>
  <c r="C186" i="1"/>
  <c r="B186" i="1"/>
  <c r="M186" i="1" s="1"/>
  <c r="X185" i="1"/>
  <c r="W185" i="1"/>
  <c r="V185" i="1"/>
  <c r="U185" i="1"/>
  <c r="G185" i="1"/>
  <c r="F185" i="1"/>
  <c r="E185" i="1"/>
  <c r="D185" i="1"/>
  <c r="C185" i="1"/>
  <c r="B185" i="1"/>
  <c r="M185" i="1" s="1"/>
  <c r="X184" i="1"/>
  <c r="W184" i="1"/>
  <c r="V184" i="1"/>
  <c r="U184" i="1"/>
  <c r="M184" i="1"/>
  <c r="G184" i="1"/>
  <c r="F184" i="1"/>
  <c r="E184" i="1"/>
  <c r="D184" i="1"/>
  <c r="C184" i="1"/>
  <c r="B184" i="1"/>
  <c r="X183" i="1"/>
  <c r="W183" i="1"/>
  <c r="V183" i="1"/>
  <c r="U183" i="1"/>
  <c r="M183" i="1"/>
  <c r="G183" i="1"/>
  <c r="F183" i="1"/>
  <c r="E183" i="1"/>
  <c r="D183" i="1"/>
  <c r="C183" i="1"/>
  <c r="B183" i="1"/>
  <c r="X182" i="1"/>
  <c r="W182" i="1"/>
  <c r="V182" i="1"/>
  <c r="U182" i="1"/>
  <c r="M182" i="1"/>
  <c r="G182" i="1"/>
  <c r="F182" i="1"/>
  <c r="E182" i="1"/>
  <c r="D182" i="1"/>
  <c r="C182" i="1"/>
  <c r="B182" i="1"/>
  <c r="X181" i="1"/>
  <c r="W181" i="1"/>
  <c r="V181" i="1"/>
  <c r="U181" i="1"/>
  <c r="G181" i="1"/>
  <c r="F181" i="1"/>
  <c r="E181" i="1"/>
  <c r="D181" i="1"/>
  <c r="C181" i="1"/>
  <c r="B181" i="1"/>
  <c r="M181" i="1" s="1"/>
  <c r="X180" i="1"/>
  <c r="W180" i="1"/>
  <c r="V180" i="1"/>
  <c r="U180" i="1"/>
  <c r="M180" i="1"/>
  <c r="G180" i="1"/>
  <c r="F180" i="1"/>
  <c r="E180" i="1"/>
  <c r="D180" i="1"/>
  <c r="C180" i="1"/>
  <c r="B180" i="1"/>
  <c r="X179" i="1"/>
  <c r="W179" i="1"/>
  <c r="V179" i="1"/>
  <c r="U179" i="1"/>
  <c r="M179" i="1"/>
  <c r="G179" i="1"/>
  <c r="F179" i="1"/>
  <c r="E179" i="1"/>
  <c r="D179" i="1"/>
  <c r="C179" i="1"/>
  <c r="B179" i="1"/>
  <c r="X178" i="1"/>
  <c r="W178" i="1"/>
  <c r="V178" i="1"/>
  <c r="U178" i="1"/>
  <c r="G178" i="1"/>
  <c r="F178" i="1"/>
  <c r="E178" i="1"/>
  <c r="D178" i="1"/>
  <c r="C178" i="1"/>
  <c r="B178" i="1"/>
  <c r="M178" i="1" s="1"/>
  <c r="X177" i="1"/>
  <c r="W177" i="1"/>
  <c r="V177" i="1"/>
  <c r="U177" i="1"/>
  <c r="G177" i="1"/>
  <c r="F177" i="1"/>
  <c r="E177" i="1"/>
  <c r="D177" i="1"/>
  <c r="C177" i="1"/>
  <c r="B177" i="1"/>
  <c r="M177" i="1" s="1"/>
  <c r="X176" i="1"/>
  <c r="W176" i="1"/>
  <c r="V176" i="1"/>
  <c r="U176" i="1"/>
  <c r="G176" i="1"/>
  <c r="F176" i="1"/>
  <c r="E176" i="1"/>
  <c r="D176" i="1"/>
  <c r="C176" i="1"/>
  <c r="B176" i="1"/>
  <c r="M176" i="1" s="1"/>
  <c r="X175" i="1"/>
  <c r="W175" i="1"/>
  <c r="V175" i="1"/>
  <c r="U175" i="1"/>
  <c r="M175" i="1"/>
  <c r="G175" i="1"/>
  <c r="F175" i="1"/>
  <c r="E175" i="1"/>
  <c r="D175" i="1"/>
  <c r="C175" i="1"/>
  <c r="B175" i="1"/>
  <c r="X174" i="1"/>
  <c r="W174" i="1"/>
  <c r="V174" i="1"/>
  <c r="U174" i="1"/>
  <c r="G174" i="1"/>
  <c r="F174" i="1"/>
  <c r="E174" i="1"/>
  <c r="D174" i="1"/>
  <c r="C174" i="1"/>
  <c r="B174" i="1"/>
  <c r="M174" i="1" s="1"/>
  <c r="X173" i="1"/>
  <c r="W173" i="1"/>
  <c r="V173" i="1"/>
  <c r="U173" i="1"/>
  <c r="M173" i="1"/>
  <c r="G173" i="1"/>
  <c r="F173" i="1"/>
  <c r="E173" i="1"/>
  <c r="D173" i="1"/>
  <c r="C173" i="1"/>
  <c r="B173" i="1"/>
  <c r="X172" i="1"/>
  <c r="W172" i="1"/>
  <c r="V172" i="1"/>
  <c r="U172" i="1"/>
  <c r="M172" i="1"/>
  <c r="G172" i="1"/>
  <c r="F172" i="1"/>
  <c r="E172" i="1"/>
  <c r="D172" i="1"/>
  <c r="C172" i="1"/>
  <c r="B172" i="1"/>
  <c r="X171" i="1"/>
  <c r="W171" i="1"/>
  <c r="V171" i="1"/>
  <c r="U171" i="1"/>
  <c r="M171" i="1"/>
  <c r="G171" i="1"/>
  <c r="F171" i="1"/>
  <c r="E171" i="1"/>
  <c r="D171" i="1"/>
  <c r="C171" i="1"/>
  <c r="B171" i="1"/>
  <c r="X170" i="1"/>
  <c r="W170" i="1"/>
  <c r="V170" i="1"/>
  <c r="U170" i="1"/>
  <c r="M170" i="1"/>
  <c r="G170" i="1"/>
  <c r="F170" i="1"/>
  <c r="E170" i="1"/>
  <c r="D170" i="1"/>
  <c r="C170" i="1"/>
  <c r="B170" i="1"/>
  <c r="X169" i="1"/>
  <c r="W169" i="1"/>
  <c r="V169" i="1"/>
  <c r="U169" i="1"/>
  <c r="G169" i="1"/>
  <c r="F169" i="1"/>
  <c r="E169" i="1"/>
  <c r="D169" i="1"/>
  <c r="C169" i="1"/>
  <c r="B169" i="1"/>
  <c r="M169" i="1" s="1"/>
  <c r="X168" i="1"/>
  <c r="W168" i="1"/>
  <c r="V168" i="1"/>
  <c r="U168" i="1"/>
  <c r="G168" i="1"/>
  <c r="F168" i="1"/>
  <c r="E168" i="1"/>
  <c r="D168" i="1"/>
  <c r="C168" i="1"/>
  <c r="B168" i="1"/>
  <c r="M168" i="1" s="1"/>
  <c r="X167" i="1"/>
  <c r="W167" i="1"/>
  <c r="V167" i="1"/>
  <c r="U167" i="1"/>
  <c r="G167" i="1"/>
  <c r="F167" i="1"/>
  <c r="E167" i="1"/>
  <c r="D167" i="1"/>
  <c r="C167" i="1"/>
  <c r="B167" i="1"/>
  <c r="M167" i="1" s="1"/>
  <c r="X166" i="1"/>
  <c r="W166" i="1"/>
  <c r="V166" i="1"/>
  <c r="U166" i="1"/>
  <c r="G166" i="1"/>
  <c r="F166" i="1"/>
  <c r="E166" i="1"/>
  <c r="D166" i="1"/>
  <c r="C166" i="1"/>
  <c r="B166" i="1"/>
  <c r="M166" i="1" s="1"/>
  <c r="X165" i="1"/>
  <c r="W165" i="1"/>
  <c r="V165" i="1"/>
  <c r="U165" i="1"/>
  <c r="G165" i="1"/>
  <c r="F165" i="1"/>
  <c r="E165" i="1"/>
  <c r="D165" i="1"/>
  <c r="C165" i="1"/>
  <c r="B165" i="1"/>
  <c r="M165" i="1" s="1"/>
  <c r="X164" i="1"/>
  <c r="W164" i="1"/>
  <c r="V164" i="1"/>
  <c r="U164" i="1"/>
  <c r="G164" i="1"/>
  <c r="F164" i="1"/>
  <c r="E164" i="1"/>
  <c r="D164" i="1"/>
  <c r="C164" i="1"/>
  <c r="B164" i="1"/>
  <c r="M164" i="1" s="1"/>
  <c r="X163" i="1"/>
  <c r="W163" i="1"/>
  <c r="V163" i="1"/>
  <c r="U163" i="1"/>
  <c r="M163" i="1"/>
  <c r="G163" i="1"/>
  <c r="F163" i="1"/>
  <c r="E163" i="1"/>
  <c r="D163" i="1"/>
  <c r="C163" i="1"/>
  <c r="B163" i="1"/>
  <c r="X162" i="1"/>
  <c r="W162" i="1"/>
  <c r="V162" i="1"/>
  <c r="U162" i="1"/>
  <c r="M162" i="1"/>
  <c r="G162" i="1"/>
  <c r="F162" i="1"/>
  <c r="E162" i="1"/>
  <c r="D162" i="1"/>
  <c r="C162" i="1"/>
  <c r="B162" i="1"/>
  <c r="X161" i="1"/>
  <c r="W161" i="1"/>
  <c r="V161" i="1"/>
  <c r="U161" i="1"/>
  <c r="M161" i="1"/>
  <c r="G161" i="1"/>
  <c r="F161" i="1"/>
  <c r="E161" i="1"/>
  <c r="D161" i="1"/>
  <c r="C161" i="1"/>
  <c r="B161" i="1"/>
  <c r="X160" i="1"/>
  <c r="W160" i="1"/>
  <c r="V160" i="1"/>
  <c r="U160" i="1"/>
  <c r="M160" i="1"/>
  <c r="G160" i="1"/>
  <c r="F160" i="1"/>
  <c r="E160" i="1"/>
  <c r="D160" i="1"/>
  <c r="C160" i="1"/>
  <c r="B160" i="1"/>
  <c r="X159" i="1"/>
  <c r="W159" i="1"/>
  <c r="V159" i="1"/>
  <c r="U159" i="1"/>
  <c r="M159" i="1"/>
  <c r="G159" i="1"/>
  <c r="F159" i="1"/>
  <c r="E159" i="1"/>
  <c r="D159" i="1"/>
  <c r="C159" i="1"/>
  <c r="B159" i="1"/>
  <c r="X158" i="1"/>
  <c r="W158" i="1"/>
  <c r="V158" i="1"/>
  <c r="U158" i="1"/>
  <c r="M158" i="1"/>
  <c r="G158" i="1"/>
  <c r="F158" i="1"/>
  <c r="E158" i="1"/>
  <c r="D158" i="1"/>
  <c r="C158" i="1"/>
  <c r="B158" i="1"/>
  <c r="X157" i="1"/>
  <c r="W157" i="1"/>
  <c r="V157" i="1"/>
  <c r="U157" i="1"/>
  <c r="G157" i="1"/>
  <c r="F157" i="1"/>
  <c r="E157" i="1"/>
  <c r="D157" i="1"/>
  <c r="C157" i="1"/>
  <c r="B157" i="1"/>
  <c r="M157" i="1" s="1"/>
  <c r="X156" i="1"/>
  <c r="W156" i="1"/>
  <c r="V156" i="1"/>
  <c r="U156" i="1"/>
  <c r="G156" i="1"/>
  <c r="F156" i="1"/>
  <c r="E156" i="1"/>
  <c r="D156" i="1"/>
  <c r="C156" i="1"/>
  <c r="B156" i="1"/>
  <c r="M156" i="1" s="1"/>
  <c r="X155" i="1"/>
  <c r="W155" i="1"/>
  <c r="V155" i="1"/>
  <c r="U155" i="1"/>
  <c r="G155" i="1"/>
  <c r="F155" i="1"/>
  <c r="E155" i="1"/>
  <c r="D155" i="1"/>
  <c r="C155" i="1"/>
  <c r="B155" i="1"/>
  <c r="M155" i="1" s="1"/>
  <c r="X154" i="1"/>
  <c r="W154" i="1"/>
  <c r="V154" i="1"/>
  <c r="U154" i="1"/>
  <c r="G154" i="1"/>
  <c r="F154" i="1"/>
  <c r="E154" i="1"/>
  <c r="D154" i="1"/>
  <c r="C154" i="1"/>
  <c r="B154" i="1"/>
  <c r="M154" i="1" s="1"/>
  <c r="X153" i="1"/>
  <c r="W153" i="1"/>
  <c r="V153" i="1"/>
  <c r="U153" i="1"/>
  <c r="M153" i="1"/>
  <c r="G153" i="1"/>
  <c r="F153" i="1"/>
  <c r="E153" i="1"/>
  <c r="D153" i="1"/>
  <c r="C153" i="1"/>
  <c r="B153" i="1"/>
  <c r="X152" i="1"/>
  <c r="W152" i="1"/>
  <c r="V152" i="1"/>
  <c r="U152" i="1"/>
  <c r="M152" i="1"/>
  <c r="G152" i="1"/>
  <c r="F152" i="1"/>
  <c r="E152" i="1"/>
  <c r="D152" i="1"/>
  <c r="C152" i="1"/>
  <c r="B152" i="1"/>
  <c r="X151" i="1"/>
  <c r="W151" i="1"/>
  <c r="V151" i="1"/>
  <c r="U151" i="1"/>
  <c r="M151" i="1"/>
  <c r="G151" i="1"/>
  <c r="F151" i="1"/>
  <c r="E151" i="1"/>
  <c r="D151" i="1"/>
  <c r="C151" i="1"/>
  <c r="B151" i="1"/>
  <c r="X150" i="1"/>
  <c r="W150" i="1"/>
  <c r="V150" i="1"/>
  <c r="U150" i="1"/>
  <c r="M150" i="1"/>
  <c r="G150" i="1"/>
  <c r="F150" i="1"/>
  <c r="E150" i="1"/>
  <c r="D150" i="1"/>
  <c r="C150" i="1"/>
  <c r="B150" i="1"/>
  <c r="X149" i="1"/>
  <c r="W149" i="1"/>
  <c r="V149" i="1"/>
  <c r="U149" i="1"/>
  <c r="M149" i="1"/>
  <c r="G149" i="1"/>
  <c r="F149" i="1"/>
  <c r="E149" i="1"/>
  <c r="D149" i="1"/>
  <c r="C149" i="1"/>
  <c r="B149" i="1"/>
  <c r="X148" i="1"/>
  <c r="W148" i="1"/>
  <c r="V148" i="1"/>
  <c r="U148" i="1"/>
  <c r="M148" i="1"/>
  <c r="G148" i="1"/>
  <c r="F148" i="1"/>
  <c r="E148" i="1"/>
  <c r="D148" i="1"/>
  <c r="C148" i="1"/>
  <c r="B148" i="1"/>
  <c r="X147" i="1"/>
  <c r="W147" i="1"/>
  <c r="V147" i="1"/>
  <c r="U147" i="1"/>
  <c r="G147" i="1"/>
  <c r="F147" i="1"/>
  <c r="E147" i="1"/>
  <c r="D147" i="1"/>
  <c r="C147" i="1"/>
  <c r="B147" i="1"/>
  <c r="M147" i="1" s="1"/>
  <c r="X146" i="1"/>
  <c r="W146" i="1"/>
  <c r="V146" i="1"/>
  <c r="U146" i="1"/>
  <c r="G146" i="1"/>
  <c r="F146" i="1"/>
  <c r="E146" i="1"/>
  <c r="D146" i="1"/>
  <c r="C146" i="1"/>
  <c r="B146" i="1"/>
  <c r="M146" i="1" s="1"/>
  <c r="X145" i="1"/>
  <c r="W145" i="1"/>
  <c r="V145" i="1"/>
  <c r="U145" i="1"/>
  <c r="G145" i="1"/>
  <c r="F145" i="1"/>
  <c r="E145" i="1"/>
  <c r="D145" i="1"/>
  <c r="C145" i="1"/>
  <c r="B145" i="1"/>
  <c r="M145" i="1" s="1"/>
  <c r="X144" i="1"/>
  <c r="W144" i="1"/>
  <c r="V144" i="1"/>
  <c r="U144" i="1"/>
  <c r="G144" i="1"/>
  <c r="F144" i="1"/>
  <c r="E144" i="1"/>
  <c r="D144" i="1"/>
  <c r="C144" i="1"/>
  <c r="B144" i="1"/>
  <c r="M144" i="1" s="1"/>
  <c r="X143" i="1"/>
  <c r="W143" i="1"/>
  <c r="V143" i="1"/>
  <c r="U143" i="1"/>
  <c r="G143" i="1"/>
  <c r="F143" i="1"/>
  <c r="E143" i="1"/>
  <c r="D143" i="1"/>
  <c r="C143" i="1"/>
  <c r="B143" i="1"/>
  <c r="M143" i="1" s="1"/>
  <c r="X142" i="1"/>
  <c r="W142" i="1"/>
  <c r="V142" i="1"/>
  <c r="U142" i="1"/>
  <c r="G142" i="1"/>
  <c r="F142" i="1"/>
  <c r="E142" i="1"/>
  <c r="D142" i="1"/>
  <c r="C142" i="1"/>
  <c r="B142" i="1"/>
  <c r="M142" i="1" s="1"/>
  <c r="X141" i="1"/>
  <c r="W141" i="1"/>
  <c r="V141" i="1"/>
  <c r="U141" i="1"/>
  <c r="M141" i="1"/>
  <c r="G141" i="1"/>
  <c r="F141" i="1"/>
  <c r="E141" i="1"/>
  <c r="D141" i="1"/>
  <c r="C141" i="1"/>
  <c r="B141" i="1"/>
  <c r="X140" i="1"/>
  <c r="W140" i="1"/>
  <c r="V140" i="1"/>
  <c r="U140" i="1"/>
  <c r="M140" i="1"/>
  <c r="G140" i="1"/>
  <c r="F140" i="1"/>
  <c r="E140" i="1"/>
  <c r="D140" i="1"/>
  <c r="C140" i="1"/>
  <c r="B140" i="1"/>
  <c r="X139" i="1"/>
  <c r="W139" i="1"/>
  <c r="V139" i="1"/>
  <c r="U139" i="1"/>
  <c r="M139" i="1"/>
  <c r="G139" i="1"/>
  <c r="F139" i="1"/>
  <c r="E139" i="1"/>
  <c r="D139" i="1"/>
  <c r="C139" i="1"/>
  <c r="B139" i="1"/>
  <c r="X138" i="1"/>
  <c r="W138" i="1"/>
  <c r="V138" i="1"/>
  <c r="U138" i="1"/>
  <c r="M138" i="1"/>
  <c r="G138" i="1"/>
  <c r="F138" i="1"/>
  <c r="E138" i="1"/>
  <c r="D138" i="1"/>
  <c r="C138" i="1"/>
  <c r="B138" i="1"/>
  <c r="X137" i="1"/>
  <c r="W137" i="1"/>
  <c r="V137" i="1"/>
  <c r="U137" i="1"/>
  <c r="G137" i="1"/>
  <c r="F137" i="1"/>
  <c r="E137" i="1"/>
  <c r="D137" i="1"/>
  <c r="C137" i="1"/>
  <c r="B137" i="1"/>
  <c r="M137" i="1" s="1"/>
  <c r="X136" i="1"/>
  <c r="W136" i="1"/>
  <c r="V136" i="1"/>
  <c r="U136" i="1"/>
  <c r="M136" i="1"/>
  <c r="G136" i="1"/>
  <c r="F136" i="1"/>
  <c r="E136" i="1"/>
  <c r="D136" i="1"/>
  <c r="C136" i="1"/>
  <c r="B136" i="1"/>
  <c r="X135" i="1"/>
  <c r="W135" i="1"/>
  <c r="V135" i="1"/>
  <c r="U135" i="1"/>
  <c r="G135" i="1"/>
  <c r="F135" i="1"/>
  <c r="E135" i="1"/>
  <c r="D135" i="1"/>
  <c r="C135" i="1"/>
  <c r="B135" i="1"/>
  <c r="M135" i="1" s="1"/>
  <c r="X134" i="1"/>
  <c r="W134" i="1"/>
  <c r="V134" i="1"/>
  <c r="U134" i="1"/>
  <c r="G134" i="1"/>
  <c r="F134" i="1"/>
  <c r="E134" i="1"/>
  <c r="D134" i="1"/>
  <c r="C134" i="1"/>
  <c r="B134" i="1"/>
  <c r="M134" i="1" s="1"/>
  <c r="X133" i="1"/>
  <c r="W133" i="1"/>
  <c r="V133" i="1"/>
  <c r="U133" i="1"/>
  <c r="G133" i="1"/>
  <c r="F133" i="1"/>
  <c r="E133" i="1"/>
  <c r="D133" i="1"/>
  <c r="C133" i="1"/>
  <c r="B133" i="1"/>
  <c r="M133" i="1" s="1"/>
  <c r="X132" i="1"/>
  <c r="W132" i="1"/>
  <c r="V132" i="1"/>
  <c r="U132" i="1"/>
  <c r="M132" i="1"/>
  <c r="G132" i="1"/>
  <c r="F132" i="1"/>
  <c r="E132" i="1"/>
  <c r="D132" i="1"/>
  <c r="C132" i="1"/>
  <c r="B132" i="1"/>
  <c r="X131" i="1"/>
  <c r="W131" i="1"/>
  <c r="V131" i="1"/>
  <c r="U131" i="1"/>
  <c r="M131" i="1"/>
  <c r="G131" i="1"/>
  <c r="F131" i="1"/>
  <c r="E131" i="1"/>
  <c r="D131" i="1"/>
  <c r="C131" i="1"/>
  <c r="B131" i="1"/>
  <c r="X130" i="1"/>
  <c r="W130" i="1"/>
  <c r="V130" i="1"/>
  <c r="U130" i="1"/>
  <c r="G130" i="1"/>
  <c r="F130" i="1"/>
  <c r="E130" i="1"/>
  <c r="D130" i="1"/>
  <c r="C130" i="1"/>
  <c r="B130" i="1"/>
  <c r="M130" i="1" s="1"/>
  <c r="X129" i="1"/>
  <c r="W129" i="1"/>
  <c r="V129" i="1"/>
  <c r="U129" i="1"/>
  <c r="M129" i="1"/>
  <c r="G129" i="1"/>
  <c r="F129" i="1"/>
  <c r="E129" i="1"/>
  <c r="D129" i="1"/>
  <c r="C129" i="1"/>
  <c r="B129" i="1"/>
  <c r="X128" i="1"/>
  <c r="W128" i="1"/>
  <c r="V128" i="1"/>
  <c r="U128" i="1"/>
  <c r="M128" i="1"/>
  <c r="G128" i="1"/>
  <c r="F128" i="1"/>
  <c r="E128" i="1"/>
  <c r="D128" i="1"/>
  <c r="C128" i="1"/>
  <c r="B128" i="1"/>
  <c r="X127" i="1"/>
  <c r="W127" i="1"/>
  <c r="V127" i="1"/>
  <c r="U127" i="1"/>
  <c r="M127" i="1"/>
  <c r="G127" i="1"/>
  <c r="F127" i="1"/>
  <c r="E127" i="1"/>
  <c r="D127" i="1"/>
  <c r="C127" i="1"/>
  <c r="B127" i="1"/>
  <c r="X126" i="1"/>
  <c r="W126" i="1"/>
  <c r="V126" i="1"/>
  <c r="U126" i="1"/>
  <c r="G126" i="1"/>
  <c r="F126" i="1"/>
  <c r="E126" i="1"/>
  <c r="D126" i="1"/>
  <c r="C126" i="1"/>
  <c r="B126" i="1"/>
  <c r="M126" i="1" s="1"/>
  <c r="X125" i="1"/>
  <c r="W125" i="1"/>
  <c r="V125" i="1"/>
  <c r="U125" i="1"/>
  <c r="G125" i="1"/>
  <c r="F125" i="1"/>
  <c r="E125" i="1"/>
  <c r="D125" i="1"/>
  <c r="C125" i="1"/>
  <c r="B125" i="1"/>
  <c r="M125" i="1" s="1"/>
  <c r="X124" i="1"/>
  <c r="W124" i="1"/>
  <c r="V124" i="1"/>
  <c r="U124" i="1"/>
  <c r="M124" i="1"/>
  <c r="G124" i="1"/>
  <c r="F124" i="1"/>
  <c r="E124" i="1"/>
  <c r="D124" i="1"/>
  <c r="C124" i="1"/>
  <c r="B124" i="1"/>
  <c r="X123" i="1"/>
  <c r="W123" i="1"/>
  <c r="V123" i="1"/>
  <c r="U123" i="1"/>
  <c r="G123" i="1"/>
  <c r="F123" i="1"/>
  <c r="E123" i="1"/>
  <c r="D123" i="1"/>
  <c r="C123" i="1"/>
  <c r="B123" i="1"/>
  <c r="M123" i="1" s="1"/>
  <c r="X122" i="1"/>
  <c r="W122" i="1"/>
  <c r="V122" i="1"/>
  <c r="U122" i="1"/>
  <c r="G122" i="1"/>
  <c r="F122" i="1"/>
  <c r="E122" i="1"/>
  <c r="D122" i="1"/>
  <c r="C122" i="1"/>
  <c r="B122" i="1"/>
  <c r="M122" i="1" s="1"/>
  <c r="X121" i="1"/>
  <c r="W121" i="1"/>
  <c r="V121" i="1"/>
  <c r="U121" i="1"/>
  <c r="G121" i="1"/>
  <c r="F121" i="1"/>
  <c r="E121" i="1"/>
  <c r="D121" i="1"/>
  <c r="C121" i="1"/>
  <c r="B121" i="1"/>
  <c r="M121" i="1" s="1"/>
  <c r="X120" i="1"/>
  <c r="W120" i="1"/>
  <c r="V120" i="1"/>
  <c r="U120" i="1"/>
  <c r="M120" i="1"/>
  <c r="G120" i="1"/>
  <c r="F120" i="1"/>
  <c r="E120" i="1"/>
  <c r="D120" i="1"/>
  <c r="C120" i="1"/>
  <c r="B120" i="1"/>
  <c r="X119" i="1"/>
  <c r="W119" i="1"/>
  <c r="V119" i="1"/>
  <c r="U119" i="1"/>
  <c r="M119" i="1"/>
  <c r="G119" i="1"/>
  <c r="F119" i="1"/>
  <c r="E119" i="1"/>
  <c r="D119" i="1"/>
  <c r="C119" i="1"/>
  <c r="B119" i="1"/>
  <c r="X118" i="1"/>
  <c r="W118" i="1"/>
  <c r="V118" i="1"/>
  <c r="U118" i="1"/>
  <c r="G118" i="1"/>
  <c r="F118" i="1"/>
  <c r="E118" i="1"/>
  <c r="D118" i="1"/>
  <c r="C118" i="1"/>
  <c r="B118" i="1"/>
  <c r="M118" i="1" s="1"/>
  <c r="X117" i="1"/>
  <c r="W117" i="1"/>
  <c r="V117" i="1"/>
  <c r="U117" i="1"/>
  <c r="G117" i="1"/>
  <c r="F117" i="1"/>
  <c r="E117" i="1"/>
  <c r="D117" i="1"/>
  <c r="C117" i="1"/>
  <c r="B117" i="1"/>
  <c r="M117" i="1" s="1"/>
  <c r="X116" i="1"/>
  <c r="W116" i="1"/>
  <c r="V116" i="1"/>
  <c r="U116" i="1"/>
  <c r="G116" i="1"/>
  <c r="F116" i="1"/>
  <c r="E116" i="1"/>
  <c r="D116" i="1"/>
  <c r="C116" i="1"/>
  <c r="B116" i="1"/>
  <c r="M116" i="1" s="1"/>
  <c r="X115" i="1"/>
  <c r="W115" i="1"/>
  <c r="V115" i="1"/>
  <c r="U115" i="1"/>
  <c r="M115" i="1"/>
  <c r="G115" i="1"/>
  <c r="F115" i="1"/>
  <c r="E115" i="1"/>
  <c r="D115" i="1"/>
  <c r="C115" i="1"/>
  <c r="B115" i="1"/>
  <c r="X114" i="1"/>
  <c r="W114" i="1"/>
  <c r="V114" i="1"/>
  <c r="U114" i="1"/>
  <c r="G114" i="1"/>
  <c r="F114" i="1"/>
  <c r="E114" i="1"/>
  <c r="D114" i="1"/>
  <c r="C114" i="1"/>
  <c r="B114" i="1"/>
  <c r="M114" i="1" s="1"/>
  <c r="X113" i="1"/>
  <c r="W113" i="1"/>
  <c r="V113" i="1"/>
  <c r="U113" i="1"/>
  <c r="G113" i="1"/>
  <c r="F113" i="1"/>
  <c r="E113" i="1"/>
  <c r="D113" i="1"/>
  <c r="C113" i="1"/>
  <c r="B113" i="1"/>
  <c r="M113" i="1" s="1"/>
  <c r="X112" i="1"/>
  <c r="W112" i="1"/>
  <c r="V112" i="1"/>
  <c r="U112" i="1"/>
  <c r="M112" i="1"/>
  <c r="G112" i="1"/>
  <c r="F112" i="1"/>
  <c r="E112" i="1"/>
  <c r="D112" i="1"/>
  <c r="C112" i="1"/>
  <c r="B112" i="1"/>
  <c r="X111" i="1"/>
  <c r="W111" i="1"/>
  <c r="V111" i="1"/>
  <c r="U111" i="1"/>
  <c r="M111" i="1"/>
  <c r="G111" i="1"/>
  <c r="F111" i="1"/>
  <c r="E111" i="1"/>
  <c r="D111" i="1"/>
  <c r="C111" i="1"/>
  <c r="B111" i="1"/>
  <c r="X110" i="1"/>
  <c r="W110" i="1"/>
  <c r="V110" i="1"/>
  <c r="U110" i="1"/>
  <c r="M110" i="1"/>
  <c r="G110" i="1"/>
  <c r="F110" i="1"/>
  <c r="E110" i="1"/>
  <c r="D110" i="1"/>
  <c r="C110" i="1"/>
  <c r="B110" i="1"/>
  <c r="X109" i="1"/>
  <c r="W109" i="1"/>
  <c r="V109" i="1"/>
  <c r="U109" i="1"/>
  <c r="G109" i="1"/>
  <c r="F109" i="1"/>
  <c r="E109" i="1"/>
  <c r="D109" i="1"/>
  <c r="C109" i="1"/>
  <c r="B109" i="1"/>
  <c r="M109" i="1" s="1"/>
  <c r="X108" i="1"/>
  <c r="W108" i="1"/>
  <c r="V108" i="1"/>
  <c r="U108" i="1"/>
  <c r="M108" i="1"/>
  <c r="G108" i="1"/>
  <c r="F108" i="1"/>
  <c r="E108" i="1"/>
  <c r="D108" i="1"/>
  <c r="C108" i="1"/>
  <c r="B108" i="1"/>
  <c r="X107" i="1"/>
  <c r="W107" i="1"/>
  <c r="V107" i="1"/>
  <c r="U107" i="1"/>
  <c r="M107" i="1"/>
  <c r="G107" i="1"/>
  <c r="F107" i="1"/>
  <c r="E107" i="1"/>
  <c r="D107" i="1"/>
  <c r="C107" i="1"/>
  <c r="B107" i="1"/>
  <c r="X106" i="1"/>
  <c r="W106" i="1"/>
  <c r="V106" i="1"/>
  <c r="U106" i="1"/>
  <c r="G106" i="1"/>
  <c r="F106" i="1"/>
  <c r="E106" i="1"/>
  <c r="D106" i="1"/>
  <c r="C106" i="1"/>
  <c r="B106" i="1"/>
  <c r="M106" i="1" s="1"/>
  <c r="X105" i="1"/>
  <c r="W105" i="1"/>
  <c r="V105" i="1"/>
  <c r="U105" i="1"/>
  <c r="G105" i="1"/>
  <c r="F105" i="1"/>
  <c r="E105" i="1"/>
  <c r="D105" i="1"/>
  <c r="C105" i="1"/>
  <c r="B105" i="1"/>
  <c r="M105" i="1" s="1"/>
  <c r="X104" i="1"/>
  <c r="W104" i="1"/>
  <c r="V104" i="1"/>
  <c r="U104" i="1"/>
  <c r="G104" i="1"/>
  <c r="F104" i="1"/>
  <c r="E104" i="1"/>
  <c r="D104" i="1"/>
  <c r="C104" i="1"/>
  <c r="B104" i="1"/>
  <c r="M104" i="1" s="1"/>
  <c r="X103" i="1"/>
  <c r="W103" i="1"/>
  <c r="V103" i="1"/>
  <c r="U103" i="1"/>
  <c r="M103" i="1"/>
  <c r="G103" i="1"/>
  <c r="F103" i="1"/>
  <c r="E103" i="1"/>
  <c r="D103" i="1"/>
  <c r="C103" i="1"/>
  <c r="B103" i="1"/>
  <c r="X102" i="1"/>
  <c r="W102" i="1"/>
  <c r="V102" i="1"/>
  <c r="U102" i="1"/>
  <c r="G102" i="1"/>
  <c r="F102" i="1"/>
  <c r="E102" i="1"/>
  <c r="D102" i="1"/>
  <c r="C102" i="1"/>
  <c r="B102" i="1"/>
  <c r="M102" i="1" s="1"/>
  <c r="X101" i="1"/>
  <c r="W101" i="1"/>
  <c r="V101" i="1"/>
  <c r="U101" i="1"/>
  <c r="M101" i="1"/>
  <c r="G101" i="1"/>
  <c r="F101" i="1"/>
  <c r="E101" i="1"/>
  <c r="D101" i="1"/>
  <c r="C101" i="1"/>
  <c r="B101" i="1"/>
  <c r="X100" i="1"/>
  <c r="W100" i="1"/>
  <c r="V100" i="1"/>
  <c r="U100" i="1"/>
  <c r="M100" i="1"/>
  <c r="G100" i="1"/>
  <c r="F100" i="1"/>
  <c r="E100" i="1"/>
  <c r="D100" i="1"/>
  <c r="C100" i="1"/>
  <c r="B100" i="1"/>
  <c r="X99" i="1"/>
  <c r="W99" i="1"/>
  <c r="V99" i="1"/>
  <c r="U99" i="1"/>
  <c r="M99" i="1"/>
  <c r="G99" i="1"/>
  <c r="F99" i="1"/>
  <c r="E99" i="1"/>
  <c r="D99" i="1"/>
  <c r="C99" i="1"/>
  <c r="B99" i="1"/>
  <c r="X98" i="1"/>
  <c r="W98" i="1"/>
  <c r="V98" i="1"/>
  <c r="U98" i="1"/>
  <c r="M98" i="1"/>
  <c r="G98" i="1"/>
  <c r="F98" i="1"/>
  <c r="E98" i="1"/>
  <c r="D98" i="1"/>
  <c r="C98" i="1"/>
  <c r="B98" i="1"/>
  <c r="X97" i="1"/>
  <c r="W97" i="1"/>
  <c r="V97" i="1"/>
  <c r="U97" i="1"/>
  <c r="G97" i="1"/>
  <c r="F97" i="1"/>
  <c r="E97" i="1"/>
  <c r="D97" i="1"/>
  <c r="C97" i="1"/>
  <c r="B97" i="1"/>
  <c r="M97" i="1" s="1"/>
  <c r="X96" i="1"/>
  <c r="W96" i="1"/>
  <c r="V96" i="1"/>
  <c r="U96" i="1"/>
  <c r="G96" i="1"/>
  <c r="F96" i="1"/>
  <c r="E96" i="1"/>
  <c r="D96" i="1"/>
  <c r="C96" i="1"/>
  <c r="B96" i="1"/>
  <c r="M96" i="1" s="1"/>
  <c r="X95" i="1"/>
  <c r="W95" i="1"/>
  <c r="V95" i="1"/>
  <c r="U95" i="1"/>
  <c r="G95" i="1"/>
  <c r="F95" i="1"/>
  <c r="E95" i="1"/>
  <c r="D95" i="1"/>
  <c r="C95" i="1"/>
  <c r="B95" i="1"/>
  <c r="M95" i="1" s="1"/>
  <c r="X94" i="1"/>
  <c r="W94" i="1"/>
  <c r="V94" i="1"/>
  <c r="U94" i="1"/>
  <c r="G94" i="1"/>
  <c r="F94" i="1"/>
  <c r="E94" i="1"/>
  <c r="D94" i="1"/>
  <c r="C94" i="1"/>
  <c r="B94" i="1"/>
  <c r="M94" i="1" s="1"/>
  <c r="X93" i="1"/>
  <c r="W93" i="1"/>
  <c r="V93" i="1"/>
  <c r="U93" i="1"/>
  <c r="G93" i="1"/>
  <c r="F93" i="1"/>
  <c r="E93" i="1"/>
  <c r="D93" i="1"/>
  <c r="C93" i="1"/>
  <c r="B93" i="1"/>
  <c r="M93" i="1" s="1"/>
  <c r="X92" i="1"/>
  <c r="W92" i="1"/>
  <c r="V92" i="1"/>
  <c r="U92" i="1"/>
  <c r="G92" i="1"/>
  <c r="F92" i="1"/>
  <c r="E92" i="1"/>
  <c r="D92" i="1"/>
  <c r="C92" i="1"/>
  <c r="B92" i="1"/>
  <c r="M92" i="1" s="1"/>
  <c r="X91" i="1"/>
  <c r="W91" i="1"/>
  <c r="V91" i="1"/>
  <c r="U91" i="1"/>
  <c r="M91" i="1"/>
  <c r="G91" i="1"/>
  <c r="F91" i="1"/>
  <c r="E91" i="1"/>
  <c r="D91" i="1"/>
  <c r="C91" i="1"/>
  <c r="B91" i="1"/>
  <c r="X90" i="1"/>
  <c r="W90" i="1"/>
  <c r="V90" i="1"/>
  <c r="U90" i="1"/>
  <c r="M90" i="1"/>
  <c r="G90" i="1"/>
  <c r="F90" i="1"/>
  <c r="E90" i="1"/>
  <c r="D90" i="1"/>
  <c r="C90" i="1"/>
  <c r="B90" i="1"/>
  <c r="X89" i="1"/>
  <c r="W89" i="1"/>
  <c r="V89" i="1"/>
  <c r="U89" i="1"/>
  <c r="M89" i="1"/>
  <c r="G89" i="1"/>
  <c r="F89" i="1"/>
  <c r="E89" i="1"/>
  <c r="D89" i="1"/>
  <c r="C89" i="1"/>
  <c r="B89" i="1"/>
  <c r="X88" i="1"/>
  <c r="W88" i="1"/>
  <c r="V88" i="1"/>
  <c r="U88" i="1"/>
  <c r="M88" i="1"/>
  <c r="G88" i="1"/>
  <c r="F88" i="1"/>
  <c r="E88" i="1"/>
  <c r="D88" i="1"/>
  <c r="C88" i="1"/>
  <c r="B88" i="1"/>
  <c r="X87" i="1"/>
  <c r="W87" i="1"/>
  <c r="V87" i="1"/>
  <c r="U87" i="1"/>
  <c r="M87" i="1"/>
  <c r="G87" i="1"/>
  <c r="F87" i="1"/>
  <c r="E87" i="1"/>
  <c r="D87" i="1"/>
  <c r="C87" i="1"/>
  <c r="B87" i="1"/>
  <c r="X86" i="1"/>
  <c r="W86" i="1"/>
  <c r="V86" i="1"/>
  <c r="U86" i="1"/>
  <c r="M86" i="1"/>
  <c r="G86" i="1"/>
  <c r="F86" i="1"/>
  <c r="E86" i="1"/>
  <c r="D86" i="1"/>
  <c r="C86" i="1"/>
  <c r="B86" i="1"/>
  <c r="X85" i="1"/>
  <c r="W85" i="1"/>
  <c r="V85" i="1"/>
  <c r="U85" i="1"/>
  <c r="G85" i="1"/>
  <c r="F85" i="1"/>
  <c r="E85" i="1"/>
  <c r="D85" i="1"/>
  <c r="C85" i="1"/>
  <c r="B85" i="1"/>
  <c r="M85" i="1" s="1"/>
  <c r="X84" i="1"/>
  <c r="W84" i="1"/>
  <c r="V84" i="1"/>
  <c r="U84" i="1"/>
  <c r="G84" i="1"/>
  <c r="F84" i="1"/>
  <c r="E84" i="1"/>
  <c r="D84" i="1"/>
  <c r="C84" i="1"/>
  <c r="B84" i="1"/>
  <c r="M84" i="1" s="1"/>
  <c r="X83" i="1"/>
  <c r="W83" i="1"/>
  <c r="V83" i="1"/>
  <c r="U83" i="1"/>
  <c r="G83" i="1"/>
  <c r="F83" i="1"/>
  <c r="E83" i="1"/>
  <c r="D83" i="1"/>
  <c r="C83" i="1"/>
  <c r="B83" i="1"/>
  <c r="M83" i="1" s="1"/>
  <c r="X82" i="1"/>
  <c r="W82" i="1"/>
  <c r="V82" i="1"/>
  <c r="U82" i="1"/>
  <c r="G82" i="1"/>
  <c r="F82" i="1"/>
  <c r="E82" i="1"/>
  <c r="D82" i="1"/>
  <c r="C82" i="1"/>
  <c r="B82" i="1"/>
  <c r="M82" i="1" s="1"/>
  <c r="X81" i="1"/>
  <c r="W81" i="1"/>
  <c r="V81" i="1"/>
  <c r="U81" i="1"/>
  <c r="M81" i="1"/>
  <c r="G81" i="1"/>
  <c r="F81" i="1"/>
  <c r="E81" i="1"/>
  <c r="D81" i="1"/>
  <c r="C81" i="1"/>
  <c r="B81" i="1"/>
  <c r="X80" i="1"/>
  <c r="W80" i="1"/>
  <c r="V80" i="1"/>
  <c r="U80" i="1"/>
  <c r="M80" i="1"/>
  <c r="G80" i="1"/>
  <c r="F80" i="1"/>
  <c r="E80" i="1"/>
  <c r="D80" i="1"/>
  <c r="C80" i="1"/>
  <c r="B80" i="1"/>
  <c r="X79" i="1"/>
  <c r="W79" i="1"/>
  <c r="V79" i="1"/>
  <c r="U79" i="1"/>
  <c r="M79" i="1"/>
  <c r="G79" i="1"/>
  <c r="F79" i="1"/>
  <c r="E79" i="1"/>
  <c r="D79" i="1"/>
  <c r="C79" i="1"/>
  <c r="B79" i="1"/>
  <c r="X78" i="1"/>
  <c r="W78" i="1"/>
  <c r="V78" i="1"/>
  <c r="U78" i="1"/>
  <c r="M78" i="1"/>
  <c r="G78" i="1"/>
  <c r="F78" i="1"/>
  <c r="E78" i="1"/>
  <c r="D78" i="1"/>
  <c r="C78" i="1"/>
  <c r="B78" i="1"/>
  <c r="X77" i="1"/>
  <c r="W77" i="1"/>
  <c r="V77" i="1"/>
  <c r="U77" i="1"/>
  <c r="M77" i="1"/>
  <c r="G77" i="1"/>
  <c r="F77" i="1"/>
  <c r="E77" i="1"/>
  <c r="D77" i="1"/>
  <c r="C77" i="1"/>
  <c r="B77" i="1"/>
  <c r="X76" i="1"/>
  <c r="W76" i="1"/>
  <c r="V76" i="1"/>
  <c r="U76" i="1"/>
  <c r="M76" i="1"/>
  <c r="G76" i="1"/>
  <c r="F76" i="1"/>
  <c r="E76" i="1"/>
  <c r="D76" i="1"/>
  <c r="C76" i="1"/>
  <c r="B76" i="1"/>
  <c r="X75" i="1"/>
  <c r="W75" i="1"/>
  <c r="V75" i="1"/>
  <c r="U75" i="1"/>
  <c r="G75" i="1"/>
  <c r="F75" i="1"/>
  <c r="E75" i="1"/>
  <c r="D75" i="1"/>
  <c r="C75" i="1"/>
  <c r="B75" i="1"/>
  <c r="M75" i="1" s="1"/>
  <c r="X74" i="1"/>
  <c r="W74" i="1"/>
  <c r="V74" i="1"/>
  <c r="U74" i="1"/>
  <c r="G74" i="1"/>
  <c r="F74" i="1"/>
  <c r="E74" i="1"/>
  <c r="D74" i="1"/>
  <c r="C74" i="1"/>
  <c r="B74" i="1"/>
  <c r="M74" i="1" s="1"/>
  <c r="X73" i="1"/>
  <c r="W73" i="1"/>
  <c r="V73" i="1"/>
  <c r="U73" i="1"/>
  <c r="G73" i="1"/>
  <c r="F73" i="1"/>
  <c r="E73" i="1"/>
  <c r="D73" i="1"/>
  <c r="C73" i="1"/>
  <c r="B73" i="1"/>
  <c r="M73" i="1" s="1"/>
  <c r="X72" i="1"/>
  <c r="W72" i="1"/>
  <c r="V72" i="1"/>
  <c r="U72" i="1"/>
  <c r="G72" i="1"/>
  <c r="F72" i="1"/>
  <c r="E72" i="1"/>
  <c r="D72" i="1"/>
  <c r="C72" i="1"/>
  <c r="B72" i="1"/>
  <c r="M72" i="1" s="1"/>
  <c r="X71" i="1"/>
  <c r="W71" i="1"/>
  <c r="V71" i="1"/>
  <c r="U71" i="1"/>
  <c r="G71" i="1"/>
  <c r="F71" i="1"/>
  <c r="E71" i="1"/>
  <c r="D71" i="1"/>
  <c r="C71" i="1"/>
  <c r="B71" i="1"/>
  <c r="M71" i="1" s="1"/>
  <c r="X70" i="1"/>
  <c r="W70" i="1"/>
  <c r="V70" i="1"/>
  <c r="U70" i="1"/>
  <c r="G70" i="1"/>
  <c r="F70" i="1"/>
  <c r="E70" i="1"/>
  <c r="D70" i="1"/>
  <c r="C70" i="1"/>
  <c r="B70" i="1"/>
  <c r="M70" i="1" s="1"/>
  <c r="X69" i="1"/>
  <c r="W69" i="1"/>
  <c r="V69" i="1"/>
  <c r="U69" i="1"/>
  <c r="M69" i="1"/>
  <c r="G69" i="1"/>
  <c r="F69" i="1"/>
  <c r="E69" i="1"/>
  <c r="D69" i="1"/>
  <c r="C69" i="1"/>
  <c r="B69" i="1"/>
  <c r="X68" i="1"/>
  <c r="W68" i="1"/>
  <c r="V68" i="1"/>
  <c r="U68" i="1"/>
  <c r="M68" i="1"/>
  <c r="G68" i="1"/>
  <c r="F68" i="1"/>
  <c r="E68" i="1"/>
  <c r="D68" i="1"/>
  <c r="C68" i="1"/>
  <c r="B68" i="1"/>
  <c r="X67" i="1"/>
  <c r="W67" i="1"/>
  <c r="V67" i="1"/>
  <c r="U67" i="1"/>
  <c r="M67" i="1"/>
  <c r="G67" i="1"/>
  <c r="F67" i="1"/>
  <c r="E67" i="1"/>
  <c r="D67" i="1"/>
  <c r="C67" i="1"/>
  <c r="B67" i="1"/>
  <c r="X66" i="1"/>
  <c r="W66" i="1"/>
  <c r="V66" i="1"/>
  <c r="U66" i="1"/>
  <c r="M66" i="1"/>
  <c r="G66" i="1"/>
  <c r="F66" i="1"/>
  <c r="E66" i="1"/>
  <c r="D66" i="1"/>
  <c r="C66" i="1"/>
  <c r="B66" i="1"/>
  <c r="X65" i="1"/>
  <c r="W65" i="1"/>
  <c r="V65" i="1"/>
  <c r="U65" i="1"/>
  <c r="G65" i="1"/>
  <c r="F65" i="1"/>
  <c r="E65" i="1"/>
  <c r="D65" i="1"/>
  <c r="C65" i="1"/>
  <c r="B65" i="1"/>
  <c r="M65" i="1" s="1"/>
  <c r="X64" i="1"/>
  <c r="W64" i="1"/>
  <c r="V64" i="1"/>
  <c r="U64" i="1"/>
  <c r="M64" i="1"/>
  <c r="G64" i="1"/>
  <c r="F64" i="1"/>
  <c r="E64" i="1"/>
  <c r="D64" i="1"/>
  <c r="C64" i="1"/>
  <c r="B64" i="1"/>
  <c r="X63" i="1"/>
  <c r="W63" i="1"/>
  <c r="V63" i="1"/>
  <c r="U63" i="1"/>
  <c r="G63" i="1"/>
  <c r="F63" i="1"/>
  <c r="E63" i="1"/>
  <c r="D63" i="1"/>
  <c r="C63" i="1"/>
  <c r="B63" i="1"/>
  <c r="M63" i="1" s="1"/>
  <c r="X62" i="1"/>
  <c r="W62" i="1"/>
  <c r="V62" i="1"/>
  <c r="U62" i="1"/>
  <c r="G62" i="1"/>
  <c r="F62" i="1"/>
  <c r="E62" i="1"/>
  <c r="D62" i="1"/>
  <c r="C62" i="1"/>
  <c r="B62" i="1"/>
  <c r="M62" i="1" s="1"/>
  <c r="X61" i="1"/>
  <c r="W61" i="1"/>
  <c r="V61" i="1"/>
  <c r="U61" i="1"/>
  <c r="G61" i="1"/>
  <c r="F61" i="1"/>
  <c r="E61" i="1"/>
  <c r="D61" i="1"/>
  <c r="C61" i="1"/>
  <c r="B61" i="1"/>
  <c r="M61" i="1" s="1"/>
  <c r="X60" i="1"/>
  <c r="W60" i="1"/>
  <c r="V60" i="1"/>
  <c r="U60" i="1"/>
  <c r="M60" i="1"/>
  <c r="G60" i="1"/>
  <c r="F60" i="1"/>
  <c r="E60" i="1"/>
  <c r="D60" i="1"/>
  <c r="C60" i="1"/>
  <c r="B60" i="1"/>
  <c r="X59" i="1"/>
  <c r="W59" i="1"/>
  <c r="V59" i="1"/>
  <c r="U59" i="1"/>
  <c r="M59" i="1"/>
  <c r="G59" i="1"/>
  <c r="F59" i="1"/>
  <c r="E59" i="1"/>
  <c r="D59" i="1"/>
  <c r="C59" i="1"/>
  <c r="B59" i="1"/>
  <c r="X58" i="1"/>
  <c r="W58" i="1"/>
  <c r="V58" i="1"/>
  <c r="U58" i="1"/>
  <c r="G58" i="1"/>
  <c r="F58" i="1"/>
  <c r="E58" i="1"/>
  <c r="D58" i="1"/>
  <c r="C58" i="1"/>
  <c r="B58" i="1"/>
  <c r="M58" i="1" s="1"/>
  <c r="X57" i="1"/>
  <c r="W57" i="1"/>
  <c r="V57" i="1"/>
  <c r="U57" i="1"/>
  <c r="M57" i="1"/>
  <c r="G57" i="1"/>
  <c r="F57" i="1"/>
  <c r="E57" i="1"/>
  <c r="D57" i="1"/>
  <c r="C57" i="1"/>
  <c r="B57" i="1"/>
  <c r="X56" i="1"/>
  <c r="W56" i="1"/>
  <c r="V56" i="1"/>
  <c r="U56" i="1"/>
  <c r="M56" i="1"/>
  <c r="G56" i="1"/>
  <c r="F56" i="1"/>
  <c r="E56" i="1"/>
  <c r="D56" i="1"/>
  <c r="C56" i="1"/>
  <c r="B56" i="1"/>
  <c r="X55" i="1"/>
  <c r="W55" i="1"/>
  <c r="V55" i="1"/>
  <c r="U55" i="1"/>
  <c r="M55" i="1"/>
  <c r="G55" i="1"/>
  <c r="F55" i="1"/>
  <c r="E55" i="1"/>
  <c r="D55" i="1"/>
  <c r="C55" i="1"/>
  <c r="B55" i="1"/>
  <c r="X54" i="1"/>
  <c r="W54" i="1"/>
  <c r="V54" i="1"/>
  <c r="U54" i="1"/>
  <c r="G54" i="1"/>
  <c r="F54" i="1"/>
  <c r="E54" i="1"/>
  <c r="D54" i="1"/>
  <c r="C54" i="1"/>
  <c r="B54" i="1"/>
  <c r="M54" i="1" s="1"/>
  <c r="X53" i="1"/>
  <c r="W53" i="1"/>
  <c r="V53" i="1"/>
  <c r="U53" i="1"/>
  <c r="G53" i="1"/>
  <c r="F53" i="1"/>
  <c r="E53" i="1"/>
  <c r="D53" i="1"/>
  <c r="C53" i="1"/>
  <c r="B53" i="1"/>
  <c r="M53" i="1" s="1"/>
  <c r="X52" i="1"/>
  <c r="W52" i="1"/>
  <c r="V52" i="1"/>
  <c r="U52" i="1"/>
  <c r="G52" i="1"/>
  <c r="F52" i="1"/>
  <c r="E52" i="1"/>
  <c r="D52" i="1"/>
  <c r="C52" i="1"/>
  <c r="B52" i="1"/>
  <c r="M52" i="1" s="1"/>
  <c r="X51" i="1"/>
  <c r="W51" i="1"/>
  <c r="V51" i="1"/>
  <c r="U51" i="1"/>
  <c r="G51" i="1"/>
  <c r="F51" i="1"/>
  <c r="E51" i="1"/>
  <c r="D51" i="1"/>
  <c r="C51" i="1"/>
  <c r="B51" i="1"/>
  <c r="M51" i="1" s="1"/>
  <c r="X50" i="1"/>
  <c r="W50" i="1"/>
  <c r="V50" i="1"/>
  <c r="U50" i="1"/>
  <c r="G50" i="1"/>
  <c r="F50" i="1"/>
  <c r="E50" i="1"/>
  <c r="D50" i="1"/>
  <c r="C50" i="1"/>
  <c r="B50" i="1"/>
  <c r="M50" i="1" s="1"/>
  <c r="X49" i="1"/>
  <c r="W49" i="1"/>
  <c r="V49" i="1"/>
  <c r="U49" i="1"/>
  <c r="G49" i="1"/>
  <c r="F49" i="1"/>
  <c r="E49" i="1"/>
  <c r="D49" i="1"/>
  <c r="C49" i="1"/>
  <c r="B49" i="1"/>
  <c r="M49" i="1" s="1"/>
  <c r="X48" i="1"/>
  <c r="W48" i="1"/>
  <c r="V48" i="1"/>
  <c r="U48" i="1"/>
  <c r="M48" i="1"/>
  <c r="G48" i="1"/>
  <c r="F48" i="1"/>
  <c r="E48" i="1"/>
  <c r="D48" i="1"/>
  <c r="C48" i="1"/>
  <c r="B48" i="1"/>
  <c r="X47" i="1"/>
  <c r="W47" i="1"/>
  <c r="V47" i="1"/>
  <c r="U47" i="1"/>
  <c r="M47" i="1"/>
  <c r="G47" i="1"/>
  <c r="F47" i="1"/>
  <c r="E47" i="1"/>
  <c r="D47" i="1"/>
  <c r="C47" i="1"/>
  <c r="B47" i="1"/>
  <c r="X46" i="1"/>
  <c r="W46" i="1"/>
  <c r="V46" i="1"/>
  <c r="U46" i="1"/>
  <c r="M46" i="1"/>
  <c r="G46" i="1"/>
  <c r="F46" i="1"/>
  <c r="E46" i="1"/>
  <c r="D46" i="1"/>
  <c r="C46" i="1"/>
  <c r="B46" i="1"/>
  <c r="X45" i="1"/>
  <c r="W45" i="1"/>
  <c r="V45" i="1"/>
  <c r="U45" i="1"/>
  <c r="M45" i="1"/>
  <c r="G45" i="1"/>
  <c r="F45" i="1"/>
  <c r="E45" i="1"/>
  <c r="D45" i="1"/>
  <c r="C45" i="1"/>
  <c r="B45" i="1"/>
  <c r="X44" i="1"/>
  <c r="W44" i="1"/>
  <c r="V44" i="1"/>
  <c r="U44" i="1"/>
  <c r="G44" i="1"/>
  <c r="F44" i="1"/>
  <c r="E44" i="1"/>
  <c r="D44" i="1"/>
  <c r="C44" i="1"/>
  <c r="B44" i="1"/>
  <c r="M44" i="1" s="1"/>
  <c r="X43" i="1"/>
  <c r="W43" i="1"/>
  <c r="V43" i="1"/>
  <c r="U43" i="1"/>
  <c r="M43" i="1"/>
  <c r="G43" i="1"/>
  <c r="F43" i="1"/>
  <c r="E43" i="1"/>
  <c r="D43" i="1"/>
  <c r="C43" i="1"/>
  <c r="B43" i="1"/>
  <c r="X42" i="1"/>
  <c r="W42" i="1"/>
  <c r="V42" i="1"/>
  <c r="U42" i="1"/>
  <c r="G42" i="1"/>
  <c r="F42" i="1"/>
  <c r="E42" i="1"/>
  <c r="D42" i="1"/>
  <c r="C42" i="1"/>
  <c r="B42" i="1"/>
  <c r="M42" i="1" s="1"/>
  <c r="X41" i="1"/>
  <c r="W41" i="1"/>
  <c r="V41" i="1"/>
  <c r="U41" i="1"/>
  <c r="G41" i="1"/>
  <c r="F41" i="1"/>
  <c r="E41" i="1"/>
  <c r="D41" i="1"/>
  <c r="C41" i="1"/>
  <c r="B41" i="1"/>
  <c r="M41" i="1" s="1"/>
  <c r="X40" i="1"/>
  <c r="W40" i="1"/>
  <c r="V40" i="1"/>
  <c r="U40" i="1"/>
  <c r="G40" i="1"/>
  <c r="F40" i="1"/>
  <c r="E40" i="1"/>
  <c r="D40" i="1"/>
  <c r="C40" i="1"/>
  <c r="B40" i="1"/>
  <c r="M40" i="1" s="1"/>
  <c r="X39" i="1"/>
  <c r="W39" i="1"/>
  <c r="V39" i="1"/>
  <c r="U39" i="1"/>
  <c r="G39" i="1"/>
  <c r="F39" i="1"/>
  <c r="E39" i="1"/>
  <c r="D39" i="1"/>
  <c r="C39" i="1"/>
  <c r="B39" i="1"/>
  <c r="M39" i="1" s="1"/>
  <c r="X38" i="1"/>
  <c r="W38" i="1"/>
  <c r="V38" i="1"/>
  <c r="U38" i="1"/>
  <c r="M38" i="1"/>
  <c r="G38" i="1"/>
  <c r="F38" i="1"/>
  <c r="E38" i="1"/>
  <c r="D38" i="1"/>
  <c r="C38" i="1"/>
  <c r="B38" i="1"/>
  <c r="X37" i="1"/>
  <c r="W37" i="1"/>
  <c r="V37" i="1"/>
  <c r="U37" i="1"/>
  <c r="G37" i="1"/>
  <c r="F37" i="1"/>
  <c r="E37" i="1"/>
  <c r="D37" i="1"/>
  <c r="C37" i="1"/>
  <c r="B37" i="1"/>
  <c r="M37" i="1" s="1"/>
  <c r="X36" i="1"/>
  <c r="W36" i="1"/>
  <c r="V36" i="1"/>
  <c r="U36" i="1"/>
  <c r="M36" i="1"/>
  <c r="G36" i="1"/>
  <c r="F36" i="1"/>
  <c r="E36" i="1"/>
  <c r="D36" i="1"/>
  <c r="C36" i="1"/>
  <c r="B36" i="1"/>
  <c r="X35" i="1"/>
  <c r="W35" i="1"/>
  <c r="V35" i="1"/>
  <c r="U35" i="1"/>
  <c r="M35" i="1"/>
  <c r="G35" i="1"/>
  <c r="F35" i="1"/>
  <c r="E35" i="1"/>
  <c r="D35" i="1"/>
  <c r="C35" i="1"/>
  <c r="B35" i="1"/>
  <c r="X34" i="1"/>
  <c r="W34" i="1"/>
  <c r="V34" i="1"/>
  <c r="U34" i="1"/>
  <c r="M34" i="1"/>
  <c r="G34" i="1"/>
  <c r="F34" i="1"/>
  <c r="E34" i="1"/>
  <c r="D34" i="1"/>
  <c r="C34" i="1"/>
  <c r="B34" i="1"/>
  <c r="X33" i="1"/>
  <c r="W33" i="1"/>
  <c r="V33" i="1"/>
  <c r="U33" i="1"/>
  <c r="G33" i="1"/>
  <c r="F33" i="1"/>
  <c r="E33" i="1"/>
  <c r="D33" i="1"/>
  <c r="C33" i="1"/>
  <c r="B33" i="1"/>
  <c r="M33" i="1" s="1"/>
  <c r="X32" i="1"/>
  <c r="W32" i="1"/>
  <c r="V32" i="1"/>
  <c r="U32" i="1"/>
  <c r="G32" i="1"/>
  <c r="F32" i="1"/>
  <c r="E32" i="1"/>
  <c r="D32" i="1"/>
  <c r="C32" i="1"/>
  <c r="B32" i="1"/>
  <c r="M32" i="1" s="1"/>
  <c r="X31" i="1"/>
  <c r="W31" i="1"/>
  <c r="V31" i="1"/>
  <c r="U31" i="1"/>
  <c r="M31" i="1"/>
  <c r="G31" i="1"/>
  <c r="F31" i="1"/>
  <c r="E31" i="1"/>
  <c r="D31" i="1"/>
  <c r="C31" i="1"/>
  <c r="B31" i="1"/>
  <c r="X30" i="1"/>
  <c r="W30" i="1"/>
  <c r="V30" i="1"/>
  <c r="U30" i="1"/>
  <c r="G30" i="1"/>
  <c r="F30" i="1"/>
  <c r="E30" i="1"/>
  <c r="D30" i="1"/>
  <c r="C30" i="1"/>
  <c r="B30" i="1"/>
  <c r="M30" i="1" s="1"/>
  <c r="X29" i="1"/>
  <c r="W29" i="1"/>
  <c r="V29" i="1"/>
  <c r="U29" i="1"/>
  <c r="G29" i="1"/>
  <c r="F29" i="1"/>
  <c r="E29" i="1"/>
  <c r="D29" i="1"/>
  <c r="C29" i="1"/>
  <c r="B29" i="1"/>
  <c r="M29" i="1" s="1"/>
  <c r="X28" i="1"/>
  <c r="W28" i="1"/>
  <c r="V28" i="1"/>
  <c r="U28" i="1"/>
  <c r="G28" i="1"/>
  <c r="F28" i="1"/>
  <c r="E28" i="1"/>
  <c r="D28" i="1"/>
  <c r="C28" i="1"/>
  <c r="B28" i="1"/>
  <c r="M28" i="1" s="1"/>
  <c r="X27" i="1"/>
  <c r="W27" i="1"/>
  <c r="V27" i="1"/>
  <c r="U27" i="1"/>
  <c r="M27" i="1"/>
  <c r="G27" i="1"/>
  <c r="F27" i="1"/>
  <c r="E27" i="1"/>
  <c r="D27" i="1"/>
  <c r="C27" i="1"/>
  <c r="B27" i="1"/>
  <c r="X26" i="1"/>
  <c r="W26" i="1"/>
  <c r="V26" i="1"/>
  <c r="U26" i="1"/>
  <c r="M26" i="1"/>
  <c r="G26" i="1"/>
  <c r="F26" i="1"/>
  <c r="E26" i="1"/>
  <c r="D26" i="1"/>
  <c r="C26" i="1"/>
  <c r="B26" i="1"/>
  <c r="X25" i="1"/>
  <c r="W25" i="1"/>
  <c r="V25" i="1"/>
  <c r="U25" i="1"/>
  <c r="G25" i="1"/>
  <c r="F25" i="1"/>
  <c r="E25" i="1"/>
  <c r="D25" i="1"/>
  <c r="C25" i="1"/>
  <c r="B25" i="1"/>
  <c r="M25" i="1" s="1"/>
  <c r="X24" i="1"/>
  <c r="W24" i="1"/>
  <c r="V24" i="1"/>
  <c r="U24" i="1"/>
  <c r="M24" i="1"/>
  <c r="G24" i="1"/>
  <c r="F24" i="1"/>
  <c r="E24" i="1"/>
  <c r="D24" i="1"/>
  <c r="C24" i="1"/>
  <c r="B24" i="1"/>
  <c r="X23" i="1"/>
  <c r="W23" i="1"/>
  <c r="V23" i="1"/>
  <c r="U23" i="1"/>
  <c r="M23" i="1"/>
  <c r="G23" i="1"/>
  <c r="F23" i="1"/>
  <c r="E23" i="1"/>
  <c r="D23" i="1"/>
  <c r="C23" i="1"/>
  <c r="B23" i="1"/>
  <c r="X22" i="1"/>
  <c r="W22" i="1"/>
  <c r="V22" i="1"/>
  <c r="U22" i="1"/>
  <c r="G22" i="1"/>
  <c r="F22" i="1"/>
  <c r="E22" i="1"/>
  <c r="D22" i="1"/>
  <c r="C22" i="1"/>
  <c r="B22" i="1"/>
  <c r="M22" i="1" s="1"/>
  <c r="X21" i="1"/>
  <c r="W21" i="1"/>
  <c r="V21" i="1"/>
  <c r="U21" i="1"/>
  <c r="G21" i="1"/>
  <c r="F21" i="1"/>
  <c r="E21" i="1"/>
  <c r="D21" i="1"/>
  <c r="C21" i="1"/>
  <c r="B21" i="1"/>
  <c r="M21" i="1" s="1"/>
  <c r="X20" i="1"/>
  <c r="W20" i="1"/>
  <c r="V20" i="1"/>
  <c r="U20" i="1"/>
  <c r="G20" i="1"/>
  <c r="F20" i="1"/>
  <c r="E20" i="1"/>
  <c r="D20" i="1"/>
  <c r="C20" i="1"/>
  <c r="B20" i="1"/>
  <c r="M20" i="1" s="1"/>
  <c r="X19" i="1"/>
  <c r="W19" i="1"/>
  <c r="V19" i="1"/>
  <c r="U19" i="1"/>
  <c r="M19" i="1"/>
  <c r="G19" i="1"/>
  <c r="F19" i="1"/>
  <c r="E19" i="1"/>
  <c r="D19" i="1"/>
  <c r="C19" i="1"/>
  <c r="B19" i="1"/>
  <c r="X18" i="1"/>
  <c r="W18" i="1"/>
  <c r="V18" i="1"/>
  <c r="U18" i="1"/>
  <c r="G18" i="1"/>
  <c r="F18" i="1"/>
  <c r="E18" i="1"/>
  <c r="D18" i="1"/>
  <c r="C18" i="1"/>
  <c r="B18" i="1"/>
  <c r="M18" i="1" s="1"/>
  <c r="X17" i="1"/>
  <c r="W17" i="1"/>
  <c r="V17" i="1"/>
  <c r="U17" i="1"/>
  <c r="G17" i="1"/>
  <c r="F17" i="1"/>
  <c r="E17" i="1"/>
  <c r="D17" i="1"/>
  <c r="C17" i="1"/>
  <c r="B17" i="1"/>
  <c r="M17" i="1" s="1"/>
  <c r="X16" i="1"/>
  <c r="W16" i="1"/>
  <c r="V16" i="1"/>
  <c r="U16" i="1"/>
  <c r="M16" i="1"/>
  <c r="G16" i="1"/>
  <c r="F16" i="1"/>
  <c r="E16" i="1"/>
  <c r="D16" i="1"/>
  <c r="C16" i="1"/>
  <c r="B16" i="1"/>
  <c r="X15" i="1"/>
  <c r="W15" i="1"/>
  <c r="V15" i="1"/>
  <c r="U15" i="1"/>
  <c r="M15" i="1"/>
  <c r="G15" i="1"/>
  <c r="F15" i="1"/>
  <c r="E15" i="1"/>
  <c r="D15" i="1"/>
  <c r="C15" i="1"/>
  <c r="B15" i="1"/>
  <c r="X14" i="1"/>
  <c r="W14" i="1"/>
  <c r="V14" i="1"/>
  <c r="U14" i="1"/>
  <c r="M14" i="1"/>
  <c r="G14" i="1"/>
  <c r="F14" i="1"/>
  <c r="E14" i="1"/>
  <c r="D14" i="1"/>
  <c r="C14" i="1"/>
  <c r="B14" i="1"/>
  <c r="X13" i="1"/>
  <c r="W13" i="1"/>
  <c r="V13" i="1"/>
  <c r="U13" i="1"/>
  <c r="G13" i="1"/>
  <c r="F13" i="1"/>
  <c r="E13" i="1"/>
  <c r="D13" i="1"/>
  <c r="C13" i="1"/>
  <c r="B13" i="1"/>
  <c r="M13" i="1" s="1"/>
  <c r="X12" i="1"/>
  <c r="W12" i="1"/>
  <c r="V12" i="1"/>
  <c r="U12" i="1"/>
  <c r="M12" i="1"/>
  <c r="G12" i="1"/>
  <c r="F12" i="1"/>
  <c r="E12" i="1"/>
  <c r="D12" i="1"/>
  <c r="C12" i="1"/>
  <c r="B12" i="1"/>
  <c r="X11" i="1"/>
  <c r="W11" i="1"/>
  <c r="V11" i="1"/>
  <c r="U11" i="1"/>
  <c r="G11" i="1"/>
  <c r="F11" i="1"/>
  <c r="E11" i="1"/>
  <c r="D11" i="1"/>
  <c r="C11" i="1"/>
  <c r="B11" i="1"/>
  <c r="M11" i="1" s="1"/>
  <c r="X10" i="1"/>
  <c r="W10" i="1"/>
  <c r="V10" i="1"/>
  <c r="U10" i="1"/>
  <c r="G10" i="1"/>
  <c r="F10" i="1"/>
  <c r="E10" i="1"/>
  <c r="D10" i="1"/>
  <c r="C10" i="1"/>
  <c r="B10" i="1"/>
  <c r="M10" i="1" s="1"/>
  <c r="X9" i="1"/>
  <c r="W9" i="1"/>
  <c r="V9" i="1"/>
  <c r="U9" i="1"/>
  <c r="G9" i="1"/>
  <c r="F9" i="1"/>
  <c r="E9" i="1"/>
  <c r="D9" i="1"/>
  <c r="C9" i="1"/>
  <c r="B9" i="1"/>
  <c r="M9" i="1" s="1"/>
  <c r="X8" i="1"/>
  <c r="W8" i="1"/>
  <c r="V8" i="1"/>
  <c r="U8" i="1"/>
  <c r="G8" i="1"/>
  <c r="F8" i="1"/>
  <c r="E8" i="1"/>
  <c r="D8" i="1"/>
  <c r="C8" i="1"/>
  <c r="B8" i="1"/>
  <c r="M8" i="1" s="1"/>
  <c r="X7" i="1"/>
  <c r="W7" i="1"/>
  <c r="V7" i="1"/>
  <c r="U7" i="1"/>
  <c r="M7" i="1"/>
  <c r="G7" i="1"/>
  <c r="F7" i="1"/>
  <c r="E7" i="1"/>
  <c r="D7" i="1"/>
  <c r="C7" i="1"/>
  <c r="B7" i="1"/>
  <c r="I663" i="1" l="1"/>
  <c r="V663" i="1" s="1"/>
  <c r="M663" i="1"/>
  <c r="M702" i="1"/>
  <c r="I702" i="1"/>
  <c r="V702" i="1" s="1"/>
  <c r="I735" i="1"/>
  <c r="V735" i="1" s="1"/>
  <c r="M735" i="1"/>
  <c r="I608" i="1"/>
  <c r="V608" i="1" s="1"/>
  <c r="M619" i="1"/>
  <c r="M625" i="1"/>
  <c r="M654" i="1"/>
  <c r="M658" i="1"/>
  <c r="I658" i="1"/>
  <c r="V658" i="1" s="1"/>
  <c r="I683" i="1"/>
  <c r="V683" i="1" s="1"/>
  <c r="M683" i="1"/>
  <c r="M730" i="1"/>
  <c r="I730" i="1"/>
  <c r="V730" i="1" s="1"/>
  <c r="I611" i="1"/>
  <c r="V611" i="1" s="1"/>
  <c r="M611" i="1"/>
  <c r="I711" i="1"/>
  <c r="V711" i="1" s="1"/>
  <c r="M711" i="1"/>
  <c r="I668" i="1"/>
  <c r="V668" i="1" s="1"/>
  <c r="M636" i="1"/>
  <c r="I636" i="1"/>
  <c r="V636" i="1" s="1"/>
  <c r="I687" i="1"/>
  <c r="V687" i="1" s="1"/>
  <c r="M687" i="1"/>
  <c r="M706" i="1"/>
  <c r="I706" i="1"/>
  <c r="V706" i="1" s="1"/>
  <c r="M626" i="1"/>
  <c r="I626" i="1"/>
  <c r="V626" i="1" s="1"/>
  <c r="M682" i="1"/>
  <c r="I682" i="1"/>
  <c r="V682" i="1" s="1"/>
  <c r="M802" i="1"/>
  <c r="I802" i="1"/>
  <c r="V802" i="1" s="1"/>
  <c r="M610" i="1"/>
  <c r="I610" i="1"/>
  <c r="V610" i="1" s="1"/>
  <c r="M643" i="1"/>
  <c r="I688" i="1"/>
  <c r="V688" i="1" s="1"/>
  <c r="I716" i="1"/>
  <c r="V716" i="1" s="1"/>
  <c r="M745" i="1"/>
  <c r="I772" i="1"/>
  <c r="V772" i="1" s="1"/>
  <c r="M601" i="1"/>
  <c r="M627" i="1"/>
  <c r="I652" i="1"/>
  <c r="V652" i="1" s="1"/>
  <c r="M660" i="1"/>
  <c r="I660" i="1"/>
  <c r="V660" i="1" s="1"/>
  <c r="M774" i="1"/>
  <c r="I774" i="1"/>
  <c r="V774" i="1" s="1"/>
  <c r="I793" i="1"/>
  <c r="V793" i="1" s="1"/>
  <c r="M793" i="1"/>
  <c r="I635" i="1"/>
  <c r="V635" i="1" s="1"/>
  <c r="M635" i="1"/>
  <c r="M650" i="1"/>
  <c r="I650" i="1"/>
  <c r="V650" i="1" s="1"/>
  <c r="I692" i="1"/>
  <c r="V692" i="1" s="1"/>
  <c r="M721" i="1"/>
  <c r="I748" i="1"/>
  <c r="V748" i="1" s="1"/>
  <c r="I776" i="1"/>
  <c r="V776" i="1" s="1"/>
  <c r="I604" i="1"/>
  <c r="V604" i="1" s="1"/>
  <c r="I616" i="1"/>
  <c r="V616" i="1" s="1"/>
  <c r="M667" i="1"/>
  <c r="M750" i="1"/>
  <c r="I750" i="1"/>
  <c r="V750" i="1" s="1"/>
  <c r="I783" i="1"/>
  <c r="V783" i="1" s="1"/>
  <c r="M783" i="1"/>
  <c r="M754" i="1"/>
  <c r="I754" i="1"/>
  <c r="V754" i="1" s="1"/>
  <c r="M602" i="1"/>
  <c r="I602" i="1"/>
  <c r="V602" i="1" s="1"/>
  <c r="I639" i="1"/>
  <c r="V639" i="1" s="1"/>
  <c r="M639" i="1"/>
  <c r="I676" i="1"/>
  <c r="V676" i="1" s="1"/>
  <c r="M684" i="1"/>
  <c r="I684" i="1"/>
  <c r="V684" i="1" s="1"/>
  <c r="M697" i="1"/>
  <c r="I724" i="1"/>
  <c r="V724" i="1" s="1"/>
  <c r="I752" i="1"/>
  <c r="V752" i="1" s="1"/>
  <c r="M778" i="1"/>
  <c r="I778" i="1"/>
  <c r="V778" i="1" s="1"/>
  <c r="M800" i="1"/>
  <c r="I800" i="1"/>
  <c r="V800" i="1" s="1"/>
  <c r="M808" i="1"/>
  <c r="I808" i="1"/>
  <c r="V808" i="1" s="1"/>
  <c r="M612" i="1"/>
  <c r="I612" i="1"/>
  <c r="V612" i="1" s="1"/>
  <c r="M615" i="1"/>
  <c r="I620" i="1"/>
  <c r="V620" i="1" s="1"/>
  <c r="M630" i="1"/>
  <c r="M634" i="1"/>
  <c r="I634" i="1"/>
  <c r="V634" i="1" s="1"/>
  <c r="I659" i="1"/>
  <c r="V659" i="1" s="1"/>
  <c r="M659" i="1"/>
  <c r="M674" i="1"/>
  <c r="I674" i="1"/>
  <c r="V674" i="1" s="1"/>
  <c r="M691" i="1"/>
  <c r="M726" i="1"/>
  <c r="I726" i="1"/>
  <c r="V726" i="1" s="1"/>
  <c r="I759" i="1"/>
  <c r="V759" i="1" s="1"/>
  <c r="M759" i="1"/>
  <c r="I784" i="1"/>
  <c r="V784" i="1" s="1"/>
  <c r="I817" i="1"/>
  <c r="V817" i="1" s="1"/>
  <c r="M817" i="1"/>
  <c r="I798" i="1"/>
  <c r="V798" i="1" s="1"/>
  <c r="M807" i="1"/>
  <c r="I708" i="1"/>
  <c r="V708" i="1" s="1"/>
  <c r="I732" i="1"/>
  <c r="V732" i="1" s="1"/>
  <c r="I756" i="1"/>
  <c r="V756" i="1" s="1"/>
  <c r="I780" i="1"/>
  <c r="V780" i="1" s="1"/>
  <c r="I804" i="1"/>
  <c r="V804" i="1" s="1"/>
  <c r="I698" i="1"/>
  <c r="V698" i="1" s="1"/>
  <c r="M707" i="1"/>
  <c r="I722" i="1"/>
  <c r="V722" i="1" s="1"/>
  <c r="M731" i="1"/>
  <c r="I746" i="1"/>
  <c r="V746" i="1" s="1"/>
  <c r="M755" i="1"/>
  <c r="I770" i="1"/>
  <c r="V770" i="1" s="1"/>
  <c r="M779" i="1"/>
  <c r="I794" i="1"/>
  <c r="V794" i="1" s="1"/>
  <c r="M803" i="1"/>
  <c r="I818" i="1"/>
  <c r="V818" i="1" s="1"/>
</calcChain>
</file>

<file path=xl/sharedStrings.xml><?xml version="1.0" encoding="utf-8"?>
<sst xmlns="http://schemas.openxmlformats.org/spreadsheetml/2006/main" count="469" uniqueCount="8">
  <si>
    <t>مقارنة أسعار جدة</t>
  </si>
  <si>
    <t>كود الصنف</t>
  </si>
  <si>
    <t>أسم الصنف</t>
  </si>
  <si>
    <t>المجموعة</t>
  </si>
  <si>
    <t>الوحدة</t>
  </si>
  <si>
    <t>المورد</t>
  </si>
  <si>
    <t>السعر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</si>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</sst>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20"/>
      <color theme="1"/>
      <name val="PT Bold Broken"/>
      <charset val="17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right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2" fontId="1" fillId="0" borderId="4" xfId="0" applyNumberFormat="1" applyFont="1" applyBorder="1" applyAlignment="1" applyProtection="1">
      <alignment horizontal="center" vertical="center"/>
      <protection hidden="1"/>
    </xf>
    <xf numFmtId="4" fontId="1" fillId="0" borderId="5" xfId="0" applyNumberFormat="1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2" fontId="1" fillId="0" borderId="7" xfId="0" applyNumberFormat="1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2" fontId="1" fillId="0" borderId="9" xfId="0" applyNumberFormat="1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12">
    <dxf>
      <font>
        <b/>
        <i val="0"/>
      </font>
      <fill>
        <patternFill>
          <bgColor theme="0"/>
        </patternFill>
      </fill>
    </dxf>
    <dxf>
      <font>
        <b/>
        <i val="0"/>
        <color auto="1"/>
      </font>
      <fill>
        <patternFill>
          <f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f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ill>
        <patternFill>
          <fgColor rgb="FFFF0000"/>
        </patternFill>
      </fill>
    </dxf>
    <dxf>
      <fill>
        <patternFill>
          <fgColor rgb="FFFF0000"/>
        </patternFill>
      </fill>
    </dxf>
    <dxf>
      <fill>
        <patternFill>
          <f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6\&#1578;&#1603;&#1575;&#1604;&#1610;&#1601;\&#1605;&#1588;&#1578;&#1585;&#1610;&#1575;&#1578;\&#1605;&#1588;&#1578;&#1585;&#1610;&#1575;&#1578;%20&#1580;&#1583;&#1577;\&#1605;&#1588;&#1578;&#1585;&#1610;&#1575;&#1578;%20&#1580;&#1583;&#1577;%2031-5-2026.xlsm" TargetMode="External"/><Relationship Id="rId1" Type="http://schemas.openxmlformats.org/officeDocument/2006/relationships/externalLinkPath" Target="file:///D:\2026\&#1578;&#1603;&#1575;&#1604;&#1610;&#1601;\&#1605;&#1588;&#1578;&#1585;&#1610;&#1575;&#1578;\&#1605;&#1588;&#1578;&#1585;&#1610;&#1575;&#1578;%20&#1580;&#1583;&#1577;\&#1605;&#1588;&#1578;&#1585;&#1610;&#1575;&#1578;%20&#1580;&#1583;&#1577;%2031-5-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"/>
      <sheetName val="INV"/>
      <sheetName val="3"/>
      <sheetName val="4"/>
      <sheetName val="بحث"/>
      <sheetName val="مقارنة الاسعار"/>
      <sheetName val="نسب المخزون و المشتريبات"/>
    </sheetNames>
    <sheetDataSet>
      <sheetData sheetId="0">
        <row r="4">
          <cell r="B4">
            <v>60</v>
          </cell>
          <cell r="C4" t="str">
            <v>سماق</v>
          </cell>
          <cell r="D4" t="str">
            <v>البهارات</v>
          </cell>
          <cell r="E4" t="str">
            <v>كيلو</v>
          </cell>
          <cell r="F4" t="str">
            <v>مشتريات مباشرة</v>
          </cell>
          <cell r="G4">
            <v>8.0001666666666669</v>
          </cell>
        </row>
        <row r="5">
          <cell r="B5">
            <v>61</v>
          </cell>
          <cell r="C5" t="str">
            <v>زعتر مطحون</v>
          </cell>
          <cell r="D5" t="str">
            <v>البهارات</v>
          </cell>
          <cell r="E5" t="str">
            <v>كيلو</v>
          </cell>
          <cell r="F5" t="str">
            <v>مشتريات مباشرة</v>
          </cell>
          <cell r="G5">
            <v>29.999590000000001</v>
          </cell>
        </row>
        <row r="6">
          <cell r="B6">
            <v>64</v>
          </cell>
          <cell r="C6" t="str">
            <v>حبة البركة</v>
          </cell>
          <cell r="D6" t="str">
            <v>البهارات</v>
          </cell>
          <cell r="E6" t="str">
            <v>كيلو</v>
          </cell>
          <cell r="F6" t="str">
            <v>مشتريات مباشرة</v>
          </cell>
          <cell r="G6">
            <v>15.500035416666668</v>
          </cell>
        </row>
        <row r="7">
          <cell r="B7">
            <v>65</v>
          </cell>
          <cell r="C7" t="str">
            <v>سمسم</v>
          </cell>
          <cell r="D7" t="str">
            <v>البهارات</v>
          </cell>
          <cell r="E7" t="str">
            <v>كيلو</v>
          </cell>
          <cell r="F7" t="str">
            <v>مشتريات مباشرة</v>
          </cell>
          <cell r="G7">
            <v>12.999700000000001</v>
          </cell>
        </row>
        <row r="8">
          <cell r="B8">
            <v>53</v>
          </cell>
          <cell r="C8" t="str">
            <v>فلفل أسود مطحون</v>
          </cell>
          <cell r="D8" t="str">
            <v>البهارات</v>
          </cell>
          <cell r="E8" t="str">
            <v>كيلو</v>
          </cell>
          <cell r="F8" t="str">
            <v>مشتريات مباشرة</v>
          </cell>
          <cell r="G8">
            <v>35.999139999999997</v>
          </cell>
        </row>
        <row r="9">
          <cell r="B9">
            <v>54</v>
          </cell>
          <cell r="C9" t="str">
            <v>كمون مطحون</v>
          </cell>
          <cell r="D9" t="str">
            <v>البهارات</v>
          </cell>
          <cell r="E9" t="str">
            <v>كيلو</v>
          </cell>
          <cell r="F9" t="str">
            <v>الجوهرة</v>
          </cell>
          <cell r="G9">
            <v>20</v>
          </cell>
        </row>
        <row r="10">
          <cell r="B10">
            <v>55</v>
          </cell>
          <cell r="C10" t="str">
            <v>كزبرة مطحون</v>
          </cell>
          <cell r="D10" t="str">
            <v>البهارات</v>
          </cell>
          <cell r="E10" t="str">
            <v>كيلو</v>
          </cell>
          <cell r="F10" t="str">
            <v>الجوهرة</v>
          </cell>
          <cell r="G10">
            <v>13.04</v>
          </cell>
        </row>
        <row r="11">
          <cell r="B11">
            <v>63</v>
          </cell>
          <cell r="C11" t="str">
            <v>شطة أحمر أبو نمرين</v>
          </cell>
          <cell r="D11" t="str">
            <v>البهارات</v>
          </cell>
          <cell r="E11" t="str">
            <v>كيلو</v>
          </cell>
          <cell r="F11" t="str">
            <v>مشتريات مباشرة</v>
          </cell>
          <cell r="G11">
            <v>14.995999999999999</v>
          </cell>
        </row>
        <row r="12">
          <cell r="B12">
            <v>56</v>
          </cell>
          <cell r="C12" t="str">
            <v>جوزة الطيب مطحون</v>
          </cell>
          <cell r="D12" t="str">
            <v>البهارات</v>
          </cell>
          <cell r="E12" t="str">
            <v>كيلو</v>
          </cell>
          <cell r="F12" t="str">
            <v>مشتريات مباشرة</v>
          </cell>
          <cell r="G12">
            <v>145</v>
          </cell>
        </row>
        <row r="13">
          <cell r="B13">
            <v>58</v>
          </cell>
          <cell r="C13" t="str">
            <v>هيل مطحون</v>
          </cell>
          <cell r="D13" t="str">
            <v>البهارات</v>
          </cell>
          <cell r="E13" t="str">
            <v>كيلو</v>
          </cell>
          <cell r="F13" t="str">
            <v>مشتريات مباشرة</v>
          </cell>
          <cell r="G13">
            <v>130</v>
          </cell>
        </row>
        <row r="14">
          <cell r="B14">
            <v>59</v>
          </cell>
          <cell r="C14" t="str">
            <v>قرفة مطحونة</v>
          </cell>
          <cell r="D14" t="str">
            <v>البهارات</v>
          </cell>
          <cell r="E14" t="str">
            <v>كيلو</v>
          </cell>
          <cell r="F14" t="str">
            <v>مشتريات مباشرة</v>
          </cell>
          <cell r="G14">
            <v>24.942</v>
          </cell>
        </row>
        <row r="15">
          <cell r="B15">
            <v>152</v>
          </cell>
          <cell r="C15" t="str">
            <v>حلبة</v>
          </cell>
          <cell r="D15" t="str">
            <v>البهارات</v>
          </cell>
          <cell r="E15" t="str">
            <v>كرتونة</v>
          </cell>
          <cell r="F15" t="str">
            <v>مشتريات مباشرة</v>
          </cell>
          <cell r="G15">
            <v>70</v>
          </cell>
        </row>
        <row r="16">
          <cell r="B16">
            <v>17</v>
          </cell>
          <cell r="C16" t="str">
            <v>فلفل مجروش (فريشلى)</v>
          </cell>
          <cell r="D16" t="str">
            <v>البهارات</v>
          </cell>
          <cell r="E16" t="str">
            <v>عبوة</v>
          </cell>
          <cell r="F16" t="str">
            <v>تموين الشرق - فريشلي</v>
          </cell>
          <cell r="G16">
            <v>32.582999999999998</v>
          </cell>
        </row>
        <row r="17">
          <cell r="B17">
            <v>110</v>
          </cell>
          <cell r="C17" t="str">
            <v>دجاج 1000 جرام</v>
          </cell>
          <cell r="D17" t="str">
            <v>وجبات اسطف</v>
          </cell>
          <cell r="E17" t="str">
            <v>حبة</v>
          </cell>
          <cell r="F17" t="str">
            <v>مشتريات مباشرة</v>
          </cell>
          <cell r="G17">
            <v>11.66</v>
          </cell>
        </row>
        <row r="18">
          <cell r="B18">
            <v>580</v>
          </cell>
          <cell r="C18" t="str">
            <v>بزاليا مجمدة 20*400 جرام</v>
          </cell>
          <cell r="D18" t="str">
            <v>وجبات اسطف</v>
          </cell>
          <cell r="E18" t="str">
            <v>كيلو</v>
          </cell>
          <cell r="F18" t="str">
            <v>مشتريات مباشرة</v>
          </cell>
          <cell r="G18">
            <v>6.6760662500000008</v>
          </cell>
        </row>
        <row r="19">
          <cell r="B19">
            <v>579</v>
          </cell>
          <cell r="C19" t="str">
            <v>فاصواليا خضراء مجمدة 20*400 جرام</v>
          </cell>
          <cell r="D19" t="str">
            <v>وجبات اسطف</v>
          </cell>
          <cell r="E19" t="str">
            <v>كيلو</v>
          </cell>
          <cell r="F19" t="str">
            <v>فروت مكس</v>
          </cell>
          <cell r="G19">
            <v>8.0500000000000007</v>
          </cell>
        </row>
        <row r="20">
          <cell r="B20">
            <v>62</v>
          </cell>
          <cell r="C20" t="str">
            <v>أرز 40 كيلو</v>
          </cell>
          <cell r="D20" t="str">
            <v>وجبات اسطف</v>
          </cell>
          <cell r="E20" t="str">
            <v>شكارة 40 كيلو</v>
          </cell>
          <cell r="F20" t="str">
            <v>الرفادة</v>
          </cell>
          <cell r="G20">
            <v>143.04184210526313</v>
          </cell>
        </row>
        <row r="21">
          <cell r="B21">
            <v>184</v>
          </cell>
          <cell r="C21" t="str">
            <v>مكرونة</v>
          </cell>
          <cell r="D21" t="str">
            <v>وجبات اسطف</v>
          </cell>
          <cell r="E21" t="str">
            <v>حبة</v>
          </cell>
          <cell r="F21" t="str">
            <v>الرفادة</v>
          </cell>
          <cell r="G21">
            <v>1.3225</v>
          </cell>
        </row>
        <row r="22">
          <cell r="B22">
            <v>671</v>
          </cell>
          <cell r="C22" t="str">
            <v>ملوخية مجمدة 20*400 جرام</v>
          </cell>
          <cell r="D22" t="str">
            <v>وجبات اسطف</v>
          </cell>
          <cell r="E22" t="str">
            <v>كيلو</v>
          </cell>
          <cell r="F22" t="str">
            <v>المنجم</v>
          </cell>
          <cell r="G22">
            <v>4.6958333333333329</v>
          </cell>
        </row>
        <row r="23">
          <cell r="B23">
            <v>672</v>
          </cell>
          <cell r="C23" t="str">
            <v>بامية مجمدة 20*400 جرام</v>
          </cell>
          <cell r="D23" t="str">
            <v>وجبات اسطف</v>
          </cell>
          <cell r="E23" t="str">
            <v>كيلو</v>
          </cell>
          <cell r="F23" t="str">
            <v>المنجم</v>
          </cell>
          <cell r="G23">
            <v>7.0916666666666659</v>
          </cell>
        </row>
        <row r="24">
          <cell r="B24">
            <v>481</v>
          </cell>
          <cell r="C24" t="str">
            <v>لحم اسطاف</v>
          </cell>
          <cell r="D24" t="str">
            <v>وجبات اسطف</v>
          </cell>
          <cell r="E24" t="str">
            <v>كيلو</v>
          </cell>
          <cell r="F24" t="str">
            <v>المنجم</v>
          </cell>
          <cell r="G24">
            <v>31.05</v>
          </cell>
        </row>
        <row r="25">
          <cell r="B25">
            <v>8</v>
          </cell>
          <cell r="C25" t="str">
            <v>ليز ملح 14*21جرام</v>
          </cell>
          <cell r="D25" t="str">
            <v>دعايا وتسويق</v>
          </cell>
          <cell r="E25" t="str">
            <v>حبة</v>
          </cell>
          <cell r="F25" t="str">
            <v>شركة بيبسيكو (ليز)</v>
          </cell>
          <cell r="G25">
            <v>1.1996926411538462</v>
          </cell>
        </row>
        <row r="26">
          <cell r="B26">
            <v>9</v>
          </cell>
          <cell r="C26" t="str">
            <v>ليز شطة وليمون 14*21جرام</v>
          </cell>
          <cell r="D26" t="str">
            <v>دعايا وتسويق</v>
          </cell>
          <cell r="E26" t="str">
            <v>حبة</v>
          </cell>
          <cell r="F26" t="str">
            <v>شركة بيبسيكو (ليز)</v>
          </cell>
          <cell r="G26">
            <v>0.88</v>
          </cell>
        </row>
        <row r="27">
          <cell r="B27">
            <v>14</v>
          </cell>
          <cell r="C27" t="str">
            <v>شوك مغلفة أسود - مطبوع طحينة</v>
          </cell>
          <cell r="D27" t="str">
            <v>دعايا وتسويق</v>
          </cell>
          <cell r="E27" t="str">
            <v>حبة</v>
          </cell>
          <cell r="F27" t="str">
            <v>واد العطاء</v>
          </cell>
          <cell r="G27">
            <v>7.4749999999999997E-2</v>
          </cell>
        </row>
        <row r="28">
          <cell r="B28">
            <v>75</v>
          </cell>
          <cell r="C28" t="str">
            <v>علب بطيخ</v>
          </cell>
          <cell r="D28" t="str">
            <v>دعايا وتسويق</v>
          </cell>
          <cell r="E28" t="str">
            <v>حبة</v>
          </cell>
          <cell r="F28" t="str">
            <v>واد العطاء</v>
          </cell>
          <cell r="G28">
            <v>0.11916666666666667</v>
          </cell>
        </row>
        <row r="29">
          <cell r="B29">
            <v>19</v>
          </cell>
          <cell r="C29" t="str">
            <v>ملح الحفلات علب</v>
          </cell>
          <cell r="D29" t="str">
            <v>مواد غذائية (طحينة)</v>
          </cell>
          <cell r="E29" t="str">
            <v>كيلو</v>
          </cell>
          <cell r="F29" t="str">
            <v>الجوهرة</v>
          </cell>
          <cell r="G29">
            <v>0.91633466107968109</v>
          </cell>
        </row>
        <row r="30">
          <cell r="B30">
            <v>45</v>
          </cell>
          <cell r="C30" t="str">
            <v>خميرة برجمان 500 جرام</v>
          </cell>
          <cell r="D30" t="str">
            <v>مواد غذائية (طحينة)</v>
          </cell>
          <cell r="E30" t="str">
            <v>علبة</v>
          </cell>
          <cell r="F30" t="str">
            <v>السنبلة</v>
          </cell>
          <cell r="G30">
            <v>8.9124999999999996</v>
          </cell>
        </row>
        <row r="31">
          <cell r="B31">
            <v>25</v>
          </cell>
          <cell r="C31" t="str">
            <v>محسن هاي بور</v>
          </cell>
          <cell r="D31" t="str">
            <v>مواد غذائية (طحينة)</v>
          </cell>
          <cell r="E31" t="str">
            <v>علبة</v>
          </cell>
          <cell r="F31" t="str">
            <v>مشتريات مباشرة</v>
          </cell>
          <cell r="G31">
            <v>59.8</v>
          </cell>
        </row>
        <row r="32">
          <cell r="B32">
            <v>605</v>
          </cell>
          <cell r="C32" t="str">
            <v>جبنة رومي</v>
          </cell>
          <cell r="D32" t="str">
            <v>مواد غذائية (طحينة)</v>
          </cell>
          <cell r="E32" t="str">
            <v>كيلو</v>
          </cell>
          <cell r="F32" t="str">
            <v>مشتريات مباشرة</v>
          </cell>
          <cell r="G32">
            <v>41.432778402366871</v>
          </cell>
        </row>
        <row r="33">
          <cell r="B33">
            <v>609</v>
          </cell>
          <cell r="C33" t="str">
            <v>زيتون أخضر</v>
          </cell>
          <cell r="D33" t="str">
            <v>مواد غذائية (طحينة)</v>
          </cell>
          <cell r="E33" t="str">
            <v>كيلو</v>
          </cell>
          <cell r="F33" t="str">
            <v>مشتريات مباشرة</v>
          </cell>
          <cell r="G33">
            <v>23.776032689655175</v>
          </cell>
        </row>
        <row r="34">
          <cell r="B34">
            <v>1</v>
          </cell>
          <cell r="C34" t="str">
            <v>طحين كويتي فاخر 2*5كغم</v>
          </cell>
          <cell r="D34" t="str">
            <v>مواد غذائية (طحينة)</v>
          </cell>
          <cell r="E34" t="str">
            <v>كيلو</v>
          </cell>
          <cell r="F34" t="str">
            <v>مسارات الجود</v>
          </cell>
          <cell r="G34">
            <v>3.726</v>
          </cell>
        </row>
        <row r="35">
          <cell r="B35">
            <v>23</v>
          </cell>
          <cell r="C35" t="str">
            <v>زيت دوار الشمس*1.5ل</v>
          </cell>
          <cell r="D35" t="str">
            <v>مواد غذائية (طحينة)</v>
          </cell>
          <cell r="E35" t="str">
            <v>لتر</v>
          </cell>
          <cell r="F35" t="str">
            <v>صافولا</v>
          </cell>
          <cell r="G35">
            <v>7.9223319285714293</v>
          </cell>
        </row>
        <row r="36">
          <cell r="B36">
            <v>133</v>
          </cell>
          <cell r="C36" t="str">
            <v>خل رنا أسود</v>
          </cell>
          <cell r="D36" t="str">
            <v>مواد غذائية (طحينة)</v>
          </cell>
          <cell r="E36" t="str">
            <v>قارورة</v>
          </cell>
          <cell r="F36" t="str">
            <v>رنا - مجموعة بافرط</v>
          </cell>
          <cell r="G36">
            <v>2.0124999999999997</v>
          </cell>
        </row>
        <row r="37">
          <cell r="B37">
            <v>52</v>
          </cell>
          <cell r="C37" t="str">
            <v>خل رنا 30لتر</v>
          </cell>
          <cell r="D37" t="str">
            <v>مواد غذائية (طحينة)</v>
          </cell>
          <cell r="E37" t="str">
            <v>جالون 30 لتر</v>
          </cell>
          <cell r="F37" t="str">
            <v>رنا - مجموعة بافرط</v>
          </cell>
          <cell r="G37">
            <v>53.475000000000001</v>
          </cell>
        </row>
        <row r="38">
          <cell r="B38">
            <v>361</v>
          </cell>
          <cell r="C38" t="str">
            <v>فراولة مجمدة 1 كجم</v>
          </cell>
          <cell r="D38" t="str">
            <v>مواد غذائية (طحينة)</v>
          </cell>
          <cell r="E38" t="str">
            <v>كيلو</v>
          </cell>
          <cell r="F38" t="str">
            <v>مشتريات مباشرة</v>
          </cell>
          <cell r="G38">
            <v>6.1812500000000004</v>
          </cell>
        </row>
        <row r="39">
          <cell r="B39">
            <v>554</v>
          </cell>
          <cell r="C39" t="str">
            <v>دقيق فينه</v>
          </cell>
          <cell r="D39" t="str">
            <v>مواد غذائية (طحينة)</v>
          </cell>
          <cell r="E39" t="str">
            <v>كيلو</v>
          </cell>
          <cell r="F39" t="str">
            <v>المطاحن العربية</v>
          </cell>
          <cell r="G39">
            <v>1.288</v>
          </cell>
        </row>
        <row r="40">
          <cell r="B40">
            <v>67</v>
          </cell>
          <cell r="C40" t="str">
            <v>حليب المراعي طويل الأجل 1 لتر</v>
          </cell>
          <cell r="D40" t="str">
            <v>مواد غذائية (طحينة)</v>
          </cell>
          <cell r="E40" t="str">
            <v>لتر</v>
          </cell>
          <cell r="F40" t="str">
            <v>المراعى</v>
          </cell>
          <cell r="G40">
            <v>4.7839999999999998</v>
          </cell>
        </row>
        <row r="41">
          <cell r="B41">
            <v>69</v>
          </cell>
          <cell r="C41" t="str">
            <v>حليب المراعي طازج 2 لتر</v>
          </cell>
          <cell r="D41" t="str">
            <v>مواد غذائية (طحينة)</v>
          </cell>
          <cell r="E41" t="str">
            <v>لتر</v>
          </cell>
          <cell r="F41" t="str">
            <v>المراعى</v>
          </cell>
          <cell r="G41">
            <v>5.1873868075801743</v>
          </cell>
        </row>
        <row r="42">
          <cell r="B42">
            <v>68</v>
          </cell>
          <cell r="C42" t="str">
            <v>لبن المراعي 2لتر</v>
          </cell>
          <cell r="D42" t="str">
            <v>مواد غذائية (طحينة)</v>
          </cell>
          <cell r="E42" t="str">
            <v>لتر</v>
          </cell>
          <cell r="F42" t="str">
            <v>المراعى</v>
          </cell>
          <cell r="G42">
            <v>5.1795676056338031</v>
          </cell>
        </row>
        <row r="43">
          <cell r="B43">
            <v>477</v>
          </cell>
          <cell r="C43" t="str">
            <v>كتشب جالون 5 لتر</v>
          </cell>
          <cell r="D43" t="str">
            <v>مواد غذائية (طحينة)</v>
          </cell>
          <cell r="E43" t="str">
            <v>جالون=5لتر</v>
          </cell>
          <cell r="F43" t="str">
            <v>مشتريات مباشرة</v>
          </cell>
          <cell r="G43">
            <v>0</v>
          </cell>
        </row>
        <row r="44">
          <cell r="B44">
            <v>73</v>
          </cell>
          <cell r="C44" t="str">
            <v>طبق بيض</v>
          </cell>
          <cell r="D44" t="str">
            <v>مواد غذائية (طحينة)</v>
          </cell>
          <cell r="E44" t="str">
            <v>طبق</v>
          </cell>
          <cell r="F44" t="str">
            <v>الرفادة</v>
          </cell>
          <cell r="G44">
            <v>19.190653749999999</v>
          </cell>
        </row>
        <row r="45">
          <cell r="B45">
            <v>57</v>
          </cell>
          <cell r="C45" t="str">
            <v>سكر  50 ك</v>
          </cell>
          <cell r="D45" t="str">
            <v>مواد غذائية (طحينة)</v>
          </cell>
          <cell r="E45" t="str">
            <v>كيلو</v>
          </cell>
          <cell r="F45" t="str">
            <v>الرفادة</v>
          </cell>
          <cell r="G45">
            <v>2.4609999999999999</v>
          </cell>
        </row>
        <row r="46">
          <cell r="B46">
            <v>356</v>
          </cell>
          <cell r="C46" t="str">
            <v>أرز مصري</v>
          </cell>
          <cell r="D46" t="str">
            <v>مواد غذائية (طحينة)</v>
          </cell>
          <cell r="E46" t="str">
            <v>كيلو</v>
          </cell>
          <cell r="F46" t="str">
            <v>الرفادة</v>
          </cell>
          <cell r="G46">
            <v>5.456092857142858</v>
          </cell>
        </row>
        <row r="47">
          <cell r="B47">
            <v>168</v>
          </cell>
          <cell r="C47" t="str">
            <v>طحينة الجميل تنك *15ك</v>
          </cell>
          <cell r="D47" t="str">
            <v>مواد غذائية (طحينة)</v>
          </cell>
          <cell r="E47" t="str">
            <v>كيلو</v>
          </cell>
          <cell r="F47" t="str">
            <v>الجميل</v>
          </cell>
          <cell r="G47">
            <v>12.65</v>
          </cell>
        </row>
        <row r="48">
          <cell r="B48">
            <v>626</v>
          </cell>
          <cell r="C48" t="str">
            <v>سمنة بلدي 1.600 كيلو جرام</v>
          </cell>
          <cell r="D48" t="str">
            <v>مواد غذائية (طحينة)</v>
          </cell>
          <cell r="E48" t="str">
            <v>كيلو</v>
          </cell>
          <cell r="F48" t="str">
            <v>المراعى</v>
          </cell>
          <cell r="G48">
            <v>53.194399999999995</v>
          </cell>
        </row>
        <row r="49">
          <cell r="B49">
            <v>623</v>
          </cell>
          <cell r="C49" t="str">
            <v>مكرونة اسباجيتي</v>
          </cell>
          <cell r="D49" t="str">
            <v>مواد غذائية (طحينة)</v>
          </cell>
          <cell r="E49" t="str">
            <v>كيلو</v>
          </cell>
          <cell r="F49" t="str">
            <v>مشتريات مباشرة</v>
          </cell>
          <cell r="G49">
            <v>11.111300000000002</v>
          </cell>
        </row>
        <row r="50">
          <cell r="B50">
            <v>692</v>
          </cell>
          <cell r="C50" t="str">
            <v>لحم تشك</v>
          </cell>
          <cell r="D50" t="str">
            <v>لحوم باك ستريت</v>
          </cell>
          <cell r="E50" t="str">
            <v>كيلو</v>
          </cell>
          <cell r="F50" t="str">
            <v>اللحمة الذهبية</v>
          </cell>
          <cell r="G50">
            <v>54.05</v>
          </cell>
        </row>
        <row r="51">
          <cell r="B51">
            <v>693</v>
          </cell>
          <cell r="C51" t="str">
            <v>لحم برسكت</v>
          </cell>
          <cell r="D51" t="str">
            <v>لحوم باك ستريت</v>
          </cell>
          <cell r="E51" t="str">
            <v>كيلو</v>
          </cell>
          <cell r="F51" t="str">
            <v>اللحمة الذهبية</v>
          </cell>
          <cell r="G51">
            <v>52.9</v>
          </cell>
        </row>
        <row r="52">
          <cell r="B52">
            <v>699</v>
          </cell>
          <cell r="C52" t="str">
            <v>لحم اضلاع</v>
          </cell>
          <cell r="D52" t="str">
            <v>لحوم باك ستريت</v>
          </cell>
          <cell r="E52" t="str">
            <v>كيلو</v>
          </cell>
          <cell r="F52" t="str">
            <v>اللحمة الذهبية</v>
          </cell>
          <cell r="G52">
            <v>0</v>
          </cell>
        </row>
        <row r="53">
          <cell r="B53">
            <v>848</v>
          </cell>
          <cell r="C53" t="str">
            <v>ريب أي ستيك</v>
          </cell>
          <cell r="D53" t="str">
            <v>لحوم باك ستريت</v>
          </cell>
          <cell r="E53" t="str">
            <v>كيلو</v>
          </cell>
          <cell r="F53" t="str">
            <v>اللحمة الذهبية</v>
          </cell>
          <cell r="G53">
            <v>0</v>
          </cell>
        </row>
        <row r="54">
          <cell r="B54">
            <v>695</v>
          </cell>
          <cell r="C54" t="str">
            <v>تندر لوين ستيك</v>
          </cell>
          <cell r="D54" t="str">
            <v>لحوم باك ستريت</v>
          </cell>
          <cell r="E54" t="str">
            <v>كيلو</v>
          </cell>
          <cell r="F54" t="str">
            <v>اللحمة الذهبية</v>
          </cell>
          <cell r="G54">
            <v>0</v>
          </cell>
        </row>
        <row r="55">
          <cell r="B55">
            <v>710</v>
          </cell>
          <cell r="C55" t="str">
            <v>صدور دجاج خام كرتونة * 10 كيلو</v>
          </cell>
          <cell r="D55" t="str">
            <v>لحوم باك ستريت</v>
          </cell>
          <cell r="E55" t="str">
            <v>كيلو</v>
          </cell>
          <cell r="F55" t="str">
            <v>امريكانا</v>
          </cell>
          <cell r="G55">
            <v>23.23</v>
          </cell>
        </row>
        <row r="56">
          <cell r="B56">
            <v>655</v>
          </cell>
          <cell r="C56" t="str">
            <v>اجنحة دجاج</v>
          </cell>
          <cell r="D56" t="str">
            <v>لحوم باك ستريت</v>
          </cell>
          <cell r="E56" t="str">
            <v>كيلو</v>
          </cell>
          <cell r="F56" t="str">
            <v>مشتريات مباشرة</v>
          </cell>
          <cell r="G56">
            <v>0</v>
          </cell>
        </row>
        <row r="57">
          <cell r="B57">
            <v>668</v>
          </cell>
          <cell r="C57" t="str">
            <v xml:space="preserve">بيبي تشكن </v>
          </cell>
          <cell r="D57" t="str">
            <v>لحوم باك ستريت</v>
          </cell>
          <cell r="E57" t="str">
            <v>حبة</v>
          </cell>
          <cell r="F57" t="str">
            <v>المراعى</v>
          </cell>
          <cell r="G57">
            <v>0</v>
          </cell>
        </row>
        <row r="58">
          <cell r="B58">
            <v>658</v>
          </cell>
          <cell r="C58" t="str">
            <v>كليمارى</v>
          </cell>
          <cell r="D58" t="str">
            <v>لحوم باك ستريت</v>
          </cell>
          <cell r="E58" t="str">
            <v>كيلو</v>
          </cell>
          <cell r="F58" t="str">
            <v>مشتريات مباشرة</v>
          </cell>
          <cell r="G58">
            <v>0</v>
          </cell>
        </row>
        <row r="59">
          <cell r="B59">
            <v>657</v>
          </cell>
          <cell r="C59" t="str">
            <v>شرمب</v>
          </cell>
          <cell r="D59" t="str">
            <v>لحوم باك ستريت</v>
          </cell>
          <cell r="E59" t="str">
            <v>كيلو</v>
          </cell>
          <cell r="F59" t="str">
            <v>مشتريات مباشرة</v>
          </cell>
          <cell r="G59">
            <v>0</v>
          </cell>
        </row>
        <row r="60">
          <cell r="B60">
            <v>752</v>
          </cell>
          <cell r="C60" t="str">
            <v>صلصة تتبيلة اجنحة  دجاج 12 اونز</v>
          </cell>
          <cell r="D60" t="str">
            <v>مواد غذائية (باك ستريت)</v>
          </cell>
          <cell r="E60" t="str">
            <v>كيلو</v>
          </cell>
          <cell r="F60" t="str">
            <v>تموين الشرق - فريشلي</v>
          </cell>
          <cell r="G60">
            <v>0</v>
          </cell>
        </row>
        <row r="61">
          <cell r="B61">
            <v>700</v>
          </cell>
          <cell r="C61" t="str">
            <v>جبنة شيدر أصفر قالب ( شبيه جبنة )</v>
          </cell>
          <cell r="D61" t="str">
            <v>مواد غذائية (باك ستريت)</v>
          </cell>
          <cell r="E61" t="str">
            <v>كيلو</v>
          </cell>
          <cell r="F61" t="str">
            <v>برايد</v>
          </cell>
          <cell r="G61">
            <v>0</v>
          </cell>
        </row>
        <row r="62">
          <cell r="B62">
            <v>604</v>
          </cell>
          <cell r="C62" t="str">
            <v>زيت زيتون</v>
          </cell>
          <cell r="D62" t="str">
            <v>مواد غذائية (باك ستريت)</v>
          </cell>
          <cell r="E62" t="str">
            <v>لتر</v>
          </cell>
          <cell r="F62" t="str">
            <v>تموين الشرق - فريشلي</v>
          </cell>
          <cell r="G62">
            <v>50.312269999999998</v>
          </cell>
        </row>
        <row r="63">
          <cell r="B63">
            <v>666</v>
          </cell>
          <cell r="C63" t="str">
            <v>جبنة موزريلا *كيس 2.3 كيلو</v>
          </cell>
          <cell r="D63" t="str">
            <v>مواد غذائية (باك ستريت)</v>
          </cell>
          <cell r="E63" t="str">
            <v>كيلو</v>
          </cell>
          <cell r="F63" t="str">
            <v>برايد</v>
          </cell>
          <cell r="G63">
            <v>26.264965990159901</v>
          </cell>
        </row>
        <row r="64">
          <cell r="B64">
            <v>145</v>
          </cell>
          <cell r="C64" t="str">
            <v>زبدة  كرتونة * 25 كيلو</v>
          </cell>
          <cell r="D64" t="str">
            <v>مواد غذائية (باك ستريت)</v>
          </cell>
          <cell r="E64" t="str">
            <v>كيلو</v>
          </cell>
          <cell r="F64" t="str">
            <v>المراعى</v>
          </cell>
          <cell r="G64">
            <v>39.905000000000001</v>
          </cell>
        </row>
        <row r="65">
          <cell r="B65">
            <v>365</v>
          </cell>
          <cell r="C65" t="str">
            <v>كريمة الطبخ 1 لتر</v>
          </cell>
          <cell r="D65" t="str">
            <v>مواد غذائية (باك ستريت)</v>
          </cell>
          <cell r="E65" t="str">
            <v>لتر</v>
          </cell>
          <cell r="F65" t="str">
            <v>المراعى</v>
          </cell>
          <cell r="G65">
            <v>16.421999999999997</v>
          </cell>
        </row>
        <row r="66">
          <cell r="B66">
            <v>679</v>
          </cell>
          <cell r="C66" t="str">
            <v>كاجو</v>
          </cell>
          <cell r="D66" t="str">
            <v>مواد غذائية (باك ستريت)</v>
          </cell>
          <cell r="E66" t="str">
            <v>كيلو</v>
          </cell>
          <cell r="F66" t="str">
            <v>الجميل</v>
          </cell>
          <cell r="G66">
            <v>0</v>
          </cell>
        </row>
        <row r="67">
          <cell r="B67">
            <v>795</v>
          </cell>
          <cell r="C67" t="str">
            <v>جبنة شيدر ابيض شرائح</v>
          </cell>
          <cell r="D67" t="str">
            <v>مواد غذائية (باك ستريت)</v>
          </cell>
          <cell r="E67" t="str">
            <v>كيلو</v>
          </cell>
          <cell r="F67" t="str">
            <v>برايد</v>
          </cell>
          <cell r="G67">
            <v>0</v>
          </cell>
        </row>
        <row r="68">
          <cell r="B68">
            <v>806</v>
          </cell>
          <cell r="C68" t="str">
            <v>شيدر اصفر شرايح</v>
          </cell>
          <cell r="D68" t="str">
            <v>مواد غذائية (باك ستريت)</v>
          </cell>
          <cell r="E68" t="str">
            <v>كيلو</v>
          </cell>
          <cell r="F68" t="str">
            <v>برايد</v>
          </cell>
          <cell r="G68">
            <v>0</v>
          </cell>
        </row>
        <row r="69">
          <cell r="B69">
            <v>723</v>
          </cell>
          <cell r="C69" t="str">
            <v>شرائح لوز</v>
          </cell>
          <cell r="D69" t="str">
            <v>مواد غذائية (باك ستريت)</v>
          </cell>
          <cell r="E69" t="str">
            <v>كيلو</v>
          </cell>
          <cell r="F69" t="str">
            <v>الجميل</v>
          </cell>
          <cell r="G69">
            <v>0</v>
          </cell>
        </row>
        <row r="70">
          <cell r="B70">
            <v>721</v>
          </cell>
          <cell r="C70" t="str">
            <v>عين جمل</v>
          </cell>
          <cell r="D70" t="str">
            <v>مواد غذائية (باك ستريت)</v>
          </cell>
          <cell r="E70" t="str">
            <v>كيلو</v>
          </cell>
          <cell r="F70" t="str">
            <v>الجميل</v>
          </cell>
          <cell r="G70">
            <v>0</v>
          </cell>
        </row>
        <row r="71">
          <cell r="B71">
            <v>652</v>
          </cell>
          <cell r="C71" t="str">
            <v xml:space="preserve">دبس رمان 0.750 جرام </v>
          </cell>
          <cell r="D71" t="str">
            <v>مواد غذائية (باك ستريت)</v>
          </cell>
          <cell r="E71" t="str">
            <v>لتر</v>
          </cell>
          <cell r="F71" t="str">
            <v>نخالة القمح</v>
          </cell>
          <cell r="G71">
            <v>25.76</v>
          </cell>
        </row>
        <row r="72">
          <cell r="B72">
            <v>704</v>
          </cell>
          <cell r="C72" t="str">
            <v>نبيز احمر 0.750 جرام</v>
          </cell>
          <cell r="D72" t="str">
            <v>مواد غذائية (باك ستريت)</v>
          </cell>
          <cell r="E72" t="str">
            <v>لتر</v>
          </cell>
          <cell r="F72" t="str">
            <v>تموين الشرق - فريشلي</v>
          </cell>
          <cell r="G72">
            <v>0</v>
          </cell>
        </row>
        <row r="73">
          <cell r="B73">
            <v>769</v>
          </cell>
          <cell r="C73" t="str">
            <v>باربيكيو صوص</v>
          </cell>
          <cell r="D73" t="str">
            <v>مواد غذائية (باك ستريت)</v>
          </cell>
          <cell r="E73" t="str">
            <v>كيلو</v>
          </cell>
          <cell r="F73" t="str">
            <v>تموين الشرق - فريشلي</v>
          </cell>
          <cell r="G73">
            <v>30.391049999999996</v>
          </cell>
        </row>
        <row r="74">
          <cell r="B74">
            <v>706</v>
          </cell>
          <cell r="C74" t="str">
            <v>خردل 32 اونز</v>
          </cell>
          <cell r="D74" t="str">
            <v>مواد غذائية (باك ستريت)</v>
          </cell>
          <cell r="E74" t="str">
            <v>كيلو</v>
          </cell>
          <cell r="F74" t="str">
            <v>تموين الشرق - فريشلي</v>
          </cell>
          <cell r="G74">
            <v>0</v>
          </cell>
        </row>
        <row r="75">
          <cell r="B75">
            <v>798</v>
          </cell>
          <cell r="C75" t="str">
            <v>ورشيستر</v>
          </cell>
          <cell r="D75" t="str">
            <v>مواد غذائية (باك ستريت)</v>
          </cell>
          <cell r="E75" t="str">
            <v>لتر</v>
          </cell>
          <cell r="F75" t="str">
            <v>تموين الشرق - فريشلي</v>
          </cell>
          <cell r="G75">
            <v>0</v>
          </cell>
        </row>
        <row r="76">
          <cell r="B76">
            <v>720</v>
          </cell>
          <cell r="C76" t="str">
            <v>طماطم صوص</v>
          </cell>
          <cell r="D76" t="str">
            <v>مواد غذائية (باك ستريت)</v>
          </cell>
          <cell r="E76" t="str">
            <v>كيلو</v>
          </cell>
          <cell r="F76" t="str">
            <v>تموين الشرق - فريشلي</v>
          </cell>
          <cell r="G76">
            <v>0</v>
          </cell>
        </row>
        <row r="77">
          <cell r="B77">
            <v>727</v>
          </cell>
          <cell r="C77" t="str">
            <v>شيدر صوص</v>
          </cell>
          <cell r="D77" t="str">
            <v>مواد غذائية (باك ستريت)</v>
          </cell>
          <cell r="E77" t="str">
            <v>كيلو</v>
          </cell>
          <cell r="F77" t="str">
            <v>تموين الشرق - فريشلي</v>
          </cell>
          <cell r="G77">
            <v>30.989000000000001</v>
          </cell>
        </row>
        <row r="78">
          <cell r="B78">
            <v>799</v>
          </cell>
          <cell r="C78" t="str">
            <v>سويت شيلى صوص</v>
          </cell>
          <cell r="D78" t="str">
            <v>مواد غذائية (باك ستريت)</v>
          </cell>
          <cell r="E78" t="str">
            <v>لتر</v>
          </cell>
          <cell r="F78" t="str">
            <v>تموين الشرق - فريشلي</v>
          </cell>
          <cell r="G78">
            <v>0</v>
          </cell>
        </row>
        <row r="79">
          <cell r="B79">
            <v>707</v>
          </cell>
          <cell r="C79" t="str">
            <v>مايونيز جالون *3.78 كيلو</v>
          </cell>
          <cell r="D79" t="str">
            <v>مواد غذائية (باك ستريت)</v>
          </cell>
          <cell r="E79" t="str">
            <v>كيلو</v>
          </cell>
          <cell r="F79" t="str">
            <v>تموين الشرق - فريشلي</v>
          </cell>
          <cell r="G79">
            <v>28.011700000000001</v>
          </cell>
        </row>
        <row r="80">
          <cell r="B80">
            <v>724</v>
          </cell>
          <cell r="C80" t="str">
            <v xml:space="preserve">بافلو صوص </v>
          </cell>
          <cell r="D80" t="str">
            <v>مواد غذائية (باك ستريت)</v>
          </cell>
          <cell r="E80" t="str">
            <v>لتر</v>
          </cell>
          <cell r="F80" t="str">
            <v>تموين الشرق - فريشلي</v>
          </cell>
          <cell r="G80">
            <v>0</v>
          </cell>
        </row>
        <row r="81">
          <cell r="B81">
            <v>705</v>
          </cell>
          <cell r="C81" t="str">
            <v>كاتشب جالون *1.8 كيلو</v>
          </cell>
          <cell r="D81" t="str">
            <v>مواد غذائية (باك ستريت)</v>
          </cell>
          <cell r="E81" t="str">
            <v>كيلو</v>
          </cell>
          <cell r="F81" t="str">
            <v>تموين الشرق - فريشلي</v>
          </cell>
          <cell r="G81">
            <v>0</v>
          </cell>
        </row>
        <row r="82">
          <cell r="B82">
            <v>800</v>
          </cell>
          <cell r="C82" t="str">
            <v>صويا صوص</v>
          </cell>
          <cell r="D82" t="str">
            <v>مواد غذائية (باك ستريت)</v>
          </cell>
          <cell r="E82" t="str">
            <v>لتر</v>
          </cell>
          <cell r="F82" t="str">
            <v>العربية</v>
          </cell>
          <cell r="G82">
            <v>0</v>
          </cell>
        </row>
        <row r="83">
          <cell r="B83">
            <v>713</v>
          </cell>
          <cell r="C83" t="str">
            <v>ترافل صوص</v>
          </cell>
          <cell r="D83" t="str">
            <v>مواد غذائية (باك ستريت)</v>
          </cell>
          <cell r="E83" t="str">
            <v>كيلو</v>
          </cell>
          <cell r="F83" t="str">
            <v>العربية</v>
          </cell>
          <cell r="G83">
            <v>316.25</v>
          </cell>
        </row>
        <row r="84">
          <cell r="B84">
            <v>686</v>
          </cell>
          <cell r="C84" t="str">
            <v>كرياكى صوص</v>
          </cell>
          <cell r="D84" t="str">
            <v>مواد غذائية (باك ستريت)</v>
          </cell>
          <cell r="E84" t="str">
            <v>لتر</v>
          </cell>
          <cell r="F84" t="str">
            <v>تموين الشرق - فريشلي</v>
          </cell>
          <cell r="G84">
            <v>0</v>
          </cell>
        </row>
        <row r="85">
          <cell r="B85">
            <v>801</v>
          </cell>
          <cell r="C85" t="str">
            <v>محسن انرجي</v>
          </cell>
          <cell r="D85" t="str">
            <v>مواد غذائية (باك ستريت)</v>
          </cell>
          <cell r="E85" t="str">
            <v>حبة</v>
          </cell>
          <cell r="F85" t="str">
            <v>مشتريات مباشرة</v>
          </cell>
          <cell r="G85">
            <v>59.78</v>
          </cell>
        </row>
        <row r="86">
          <cell r="B86">
            <v>729</v>
          </cell>
          <cell r="C86" t="str">
            <v>تمر هندى خام</v>
          </cell>
          <cell r="D86" t="str">
            <v>مواد غذائية (باك ستريت)</v>
          </cell>
          <cell r="E86" t="str">
            <v>كيلو</v>
          </cell>
          <cell r="F86" t="str">
            <v>تموين الشرق - فريشلي</v>
          </cell>
          <cell r="G86">
            <v>0</v>
          </cell>
        </row>
        <row r="87">
          <cell r="B87">
            <v>691</v>
          </cell>
          <cell r="C87" t="str">
            <v>شوفان</v>
          </cell>
          <cell r="D87" t="str">
            <v>مواد غذائية (باك ستريت)</v>
          </cell>
          <cell r="E87" t="str">
            <v>كيلو</v>
          </cell>
          <cell r="F87" t="str">
            <v>مشتريات مباشرة</v>
          </cell>
          <cell r="G87">
            <v>0</v>
          </cell>
        </row>
        <row r="88">
          <cell r="B88">
            <v>702</v>
          </cell>
          <cell r="C88" t="str">
            <v>فلفل هالبينو</v>
          </cell>
          <cell r="D88" t="str">
            <v>مواد غذائية (باك ستريت)</v>
          </cell>
          <cell r="E88" t="str">
            <v>كيلو</v>
          </cell>
          <cell r="F88" t="str">
            <v>تموين الشرق - فريشلي</v>
          </cell>
          <cell r="G88">
            <v>0</v>
          </cell>
        </row>
        <row r="89">
          <cell r="B89">
            <v>662</v>
          </cell>
          <cell r="C89" t="str">
            <v>كورن فليكس</v>
          </cell>
          <cell r="D89" t="str">
            <v>مواد غذائية (باك ستريت)</v>
          </cell>
          <cell r="E89" t="str">
            <v>كيلو</v>
          </cell>
          <cell r="F89" t="str">
            <v>مشتريات مباشرة</v>
          </cell>
          <cell r="G89">
            <v>0</v>
          </cell>
        </row>
        <row r="90">
          <cell r="B90">
            <v>714</v>
          </cell>
          <cell r="C90" t="str">
            <v>أرز ريزونو</v>
          </cell>
          <cell r="D90" t="str">
            <v>مواد غذائية (باك ستريت)</v>
          </cell>
          <cell r="E90" t="str">
            <v>كيلو</v>
          </cell>
          <cell r="F90" t="str">
            <v>العربية</v>
          </cell>
          <cell r="G90">
            <v>0</v>
          </cell>
        </row>
        <row r="91">
          <cell r="B91">
            <v>703</v>
          </cell>
          <cell r="C91" t="str">
            <v>خل ابيض</v>
          </cell>
          <cell r="D91" t="str">
            <v>مواد غذائية (باك ستريت)</v>
          </cell>
          <cell r="E91" t="str">
            <v>لتر</v>
          </cell>
          <cell r="F91" t="str">
            <v>تموين الشرق - فريشلي</v>
          </cell>
          <cell r="G91">
            <v>0</v>
          </cell>
        </row>
        <row r="92">
          <cell r="B92">
            <v>632</v>
          </cell>
          <cell r="C92" t="str">
            <v>ملح ليمون</v>
          </cell>
          <cell r="D92" t="str">
            <v>مواد غذائية (باك ستريت)</v>
          </cell>
          <cell r="E92" t="str">
            <v>كيلو</v>
          </cell>
          <cell r="F92" t="str">
            <v>مشتريات مباشرة</v>
          </cell>
          <cell r="G92">
            <v>0</v>
          </cell>
        </row>
        <row r="93">
          <cell r="B93">
            <v>852</v>
          </cell>
          <cell r="C93" t="str">
            <v>خيار مخلل (شبت)</v>
          </cell>
          <cell r="D93" t="str">
            <v>مواد غذائية (باك ستريت)</v>
          </cell>
          <cell r="E93" t="str">
            <v>كيلو</v>
          </cell>
          <cell r="F93" t="str">
            <v>تموين الشرق - فريشلي</v>
          </cell>
          <cell r="G93">
            <v>0</v>
          </cell>
        </row>
        <row r="94">
          <cell r="B94">
            <v>687</v>
          </cell>
          <cell r="C94" t="str">
            <v>ملون طعام</v>
          </cell>
          <cell r="D94" t="str">
            <v>مواد غذائية (باك ستريت)</v>
          </cell>
          <cell r="E94" t="str">
            <v>كيلو</v>
          </cell>
          <cell r="F94" t="str">
            <v>مشتريات مباشرة</v>
          </cell>
          <cell r="G94">
            <v>0</v>
          </cell>
        </row>
        <row r="95">
          <cell r="B95">
            <v>780</v>
          </cell>
          <cell r="C95" t="str">
            <v>مرين</v>
          </cell>
          <cell r="D95" t="str">
            <v>مواد غذائية (باك ستريت)</v>
          </cell>
          <cell r="E95" t="str">
            <v>كيلو</v>
          </cell>
          <cell r="F95" t="str">
            <v>العربية</v>
          </cell>
          <cell r="G95">
            <v>0</v>
          </cell>
        </row>
        <row r="96">
          <cell r="B96">
            <v>667</v>
          </cell>
          <cell r="C96" t="str">
            <v>بانكو (ببقسماط)</v>
          </cell>
          <cell r="D96" t="str">
            <v>مواد غذائية (باك ستريت)</v>
          </cell>
          <cell r="E96" t="str">
            <v>كيلو</v>
          </cell>
          <cell r="F96" t="str">
            <v>مشتريات مباشرة</v>
          </cell>
          <cell r="G96">
            <v>9.9981000000000009</v>
          </cell>
        </row>
        <row r="97">
          <cell r="B97">
            <v>751</v>
          </cell>
          <cell r="C97" t="str">
            <v>خل بلسمك</v>
          </cell>
          <cell r="D97" t="str">
            <v>مواد غذائية (باك ستريت)</v>
          </cell>
          <cell r="E97" t="str">
            <v>لتر</v>
          </cell>
          <cell r="F97" t="str">
            <v>تموين الشرق - فريشلي</v>
          </cell>
          <cell r="G97">
            <v>0</v>
          </cell>
        </row>
        <row r="98">
          <cell r="B98">
            <v>670</v>
          </cell>
          <cell r="C98" t="str">
            <v>مربى توت ازرق</v>
          </cell>
          <cell r="D98" t="str">
            <v>مواد غذائية (باك ستريت)</v>
          </cell>
          <cell r="E98" t="str">
            <v>كيلو</v>
          </cell>
          <cell r="F98" t="str">
            <v>مشتريات مباشرة</v>
          </cell>
          <cell r="G98">
            <v>0</v>
          </cell>
        </row>
        <row r="99">
          <cell r="B99">
            <v>770</v>
          </cell>
          <cell r="C99" t="str">
            <v>زيت ذرة</v>
          </cell>
          <cell r="D99" t="str">
            <v>مواد غذائية (باك ستريت)</v>
          </cell>
          <cell r="E99" t="str">
            <v>لتر</v>
          </cell>
          <cell r="F99" t="str">
            <v>الفارس العالمي</v>
          </cell>
          <cell r="G99">
            <v>0</v>
          </cell>
        </row>
        <row r="100">
          <cell r="B100">
            <v>719</v>
          </cell>
          <cell r="C100" t="str">
            <v>طماطم  معلبة</v>
          </cell>
          <cell r="D100" t="str">
            <v>مواد غذائية (باك ستريت)</v>
          </cell>
          <cell r="E100" t="str">
            <v>كيلو</v>
          </cell>
          <cell r="F100" t="str">
            <v>تموين الشرق - فريشلي</v>
          </cell>
          <cell r="G100">
            <v>28.75</v>
          </cell>
        </row>
        <row r="101">
          <cell r="B101">
            <v>683</v>
          </cell>
          <cell r="C101" t="str">
            <v>فاصوليا حمرة</v>
          </cell>
          <cell r="D101" t="str">
            <v>مواد غذائية (باك ستريت)</v>
          </cell>
          <cell r="E101" t="str">
            <v>كيلو</v>
          </cell>
          <cell r="F101" t="str">
            <v>تموين الشرق - فريشلي</v>
          </cell>
          <cell r="G101">
            <v>0</v>
          </cell>
        </row>
        <row r="102">
          <cell r="B102">
            <v>765</v>
          </cell>
          <cell r="C102" t="str">
            <v>زيت سمسم</v>
          </cell>
          <cell r="D102" t="str">
            <v>مواد غذائية (باك ستريت)</v>
          </cell>
          <cell r="E102" t="str">
            <v>لتر</v>
          </cell>
          <cell r="F102" t="str">
            <v>مشتريات مباشرة</v>
          </cell>
          <cell r="G102">
            <v>0</v>
          </cell>
        </row>
        <row r="103">
          <cell r="B103">
            <v>656</v>
          </cell>
          <cell r="C103" t="str">
            <v>خبز عربى</v>
          </cell>
          <cell r="D103" t="str">
            <v>مواد غذائية (باك ستريت)</v>
          </cell>
          <cell r="E103" t="str">
            <v>كيس</v>
          </cell>
          <cell r="F103" t="str">
            <v>مشتريات مباشرة</v>
          </cell>
          <cell r="G103">
            <v>0</v>
          </cell>
        </row>
        <row r="104">
          <cell r="B104">
            <v>665</v>
          </cell>
          <cell r="C104" t="str">
            <v>كاكاو</v>
          </cell>
          <cell r="D104" t="str">
            <v>مواد غذائية (باك ستريت)</v>
          </cell>
          <cell r="E104" t="str">
            <v>كيلو</v>
          </cell>
          <cell r="F104" t="str">
            <v>مشتريات مباشرة</v>
          </cell>
          <cell r="G104">
            <v>0</v>
          </cell>
        </row>
        <row r="105">
          <cell r="B105">
            <v>717</v>
          </cell>
          <cell r="C105" t="str">
            <v>زيت ترافيل</v>
          </cell>
          <cell r="D105" t="str">
            <v>مواد غذائية (باك ستريت)</v>
          </cell>
          <cell r="E105" t="str">
            <v>لتر</v>
          </cell>
          <cell r="F105" t="str">
            <v>الخليج الوسطى</v>
          </cell>
          <cell r="G105">
            <v>0</v>
          </cell>
        </row>
        <row r="106">
          <cell r="B106">
            <v>759</v>
          </cell>
          <cell r="C106" t="str">
            <v>ورق عنب</v>
          </cell>
          <cell r="D106" t="str">
            <v>مواد غذائية (باك ستريت)</v>
          </cell>
          <cell r="E106" t="str">
            <v>كيلو</v>
          </cell>
          <cell r="F106" t="str">
            <v>تموين الشرق - فريشلي</v>
          </cell>
          <cell r="G106">
            <v>0</v>
          </cell>
        </row>
        <row r="107">
          <cell r="B107">
            <v>712</v>
          </cell>
          <cell r="C107" t="str">
            <v>بطاطس مجمد كرتونة *10 كيلو</v>
          </cell>
          <cell r="D107" t="str">
            <v>مواد غذائية (باك ستريت)</v>
          </cell>
          <cell r="E107" t="str">
            <v>كيلو</v>
          </cell>
          <cell r="F107" t="str">
            <v>موسسة مورد النخبة</v>
          </cell>
          <cell r="G107">
            <v>0</v>
          </cell>
        </row>
        <row r="108">
          <cell r="B108">
            <v>660</v>
          </cell>
          <cell r="C108" t="str">
            <v>توت مجفف</v>
          </cell>
          <cell r="D108" t="str">
            <v>مواد غذائية (باك ستريت)</v>
          </cell>
          <cell r="E108" t="str">
            <v>كيلو</v>
          </cell>
          <cell r="F108" t="str">
            <v>مشتريات مباشرة</v>
          </cell>
          <cell r="G108">
            <v>0</v>
          </cell>
        </row>
        <row r="109">
          <cell r="B109">
            <v>675</v>
          </cell>
          <cell r="C109" t="str">
            <v>سميد</v>
          </cell>
          <cell r="D109" t="str">
            <v>مواد غذائية (باك ستريت)</v>
          </cell>
          <cell r="E109" t="str">
            <v>كيلو</v>
          </cell>
          <cell r="F109" t="str">
            <v>مشتريات مباشرة</v>
          </cell>
          <cell r="G109">
            <v>0</v>
          </cell>
        </row>
        <row r="110">
          <cell r="B110">
            <v>654</v>
          </cell>
          <cell r="C110" t="str">
            <v>خبز تورتلا</v>
          </cell>
          <cell r="D110" t="str">
            <v>مواد غذائية (باك ستريت)</v>
          </cell>
          <cell r="E110" t="str">
            <v>كيس</v>
          </cell>
          <cell r="F110" t="str">
            <v>مشتريات مباشرة</v>
          </cell>
          <cell r="G110">
            <v>0</v>
          </cell>
        </row>
        <row r="111">
          <cell r="B111">
            <v>684</v>
          </cell>
          <cell r="C111" t="str">
            <v>با ستا فيونكة خام</v>
          </cell>
          <cell r="D111" t="str">
            <v>مواد غذائية (باك ستريت)</v>
          </cell>
          <cell r="E111" t="str">
            <v>كيلو</v>
          </cell>
          <cell r="F111" t="str">
            <v>العلالي</v>
          </cell>
          <cell r="G111">
            <v>0</v>
          </cell>
        </row>
        <row r="112">
          <cell r="B112">
            <v>803</v>
          </cell>
          <cell r="C112" t="str">
            <v>دقيق ذرة</v>
          </cell>
          <cell r="D112" t="str">
            <v>مواد غذائية (باك ستريت)</v>
          </cell>
          <cell r="E112" t="str">
            <v>كيلو</v>
          </cell>
          <cell r="F112" t="str">
            <v>مشتريات مباشرة</v>
          </cell>
          <cell r="G112">
            <v>0</v>
          </cell>
        </row>
        <row r="113">
          <cell r="B113">
            <v>716</v>
          </cell>
          <cell r="C113" t="str">
            <v>بيف بيكون</v>
          </cell>
          <cell r="D113" t="str">
            <v>مواد غذائية (باك ستريت)</v>
          </cell>
          <cell r="E113" t="str">
            <v>كيلو</v>
          </cell>
          <cell r="F113" t="str">
            <v>العربية</v>
          </cell>
          <cell r="G113">
            <v>74.75</v>
          </cell>
        </row>
        <row r="114">
          <cell r="B114">
            <v>804</v>
          </cell>
          <cell r="C114" t="str">
            <v>خل ارز</v>
          </cell>
          <cell r="D114" t="str">
            <v>مواد غذائية (باك ستريت)</v>
          </cell>
          <cell r="E114" t="str">
            <v>لتر</v>
          </cell>
          <cell r="F114" t="str">
            <v>تموين الشرق - فريشلي</v>
          </cell>
          <cell r="G114">
            <v>0</v>
          </cell>
        </row>
        <row r="115">
          <cell r="B115">
            <v>696</v>
          </cell>
          <cell r="C115" t="str">
            <v>شطة تابسكو احمر</v>
          </cell>
          <cell r="D115" t="str">
            <v>مواد غذائية (باك ستريت)</v>
          </cell>
          <cell r="E115" t="str">
            <v>لتر</v>
          </cell>
          <cell r="F115" t="str">
            <v>تموين الشرق - فريشلي</v>
          </cell>
          <cell r="G115">
            <v>0</v>
          </cell>
        </row>
        <row r="116">
          <cell r="B116">
            <v>697</v>
          </cell>
          <cell r="C116" t="str">
            <v>شطة تابسكو اخضر</v>
          </cell>
          <cell r="D116" t="str">
            <v>مواد غذائية (باك ستريت)</v>
          </cell>
          <cell r="E116" t="str">
            <v>لتر</v>
          </cell>
          <cell r="F116" t="str">
            <v>تموين الشرق - فريشلي</v>
          </cell>
          <cell r="G116">
            <v>0</v>
          </cell>
        </row>
        <row r="117">
          <cell r="B117">
            <v>820</v>
          </cell>
          <cell r="C117" t="str">
            <v>باستا ريجاتوني</v>
          </cell>
          <cell r="D117" t="str">
            <v>مواد غذائية (باك ستريت)</v>
          </cell>
          <cell r="E117" t="str">
            <v>كيلو</v>
          </cell>
          <cell r="F117" t="str">
            <v>نخالة القمح</v>
          </cell>
          <cell r="G117">
            <v>0</v>
          </cell>
        </row>
        <row r="118">
          <cell r="B118">
            <v>659</v>
          </cell>
          <cell r="C118" t="str">
            <v>زبادى يونانى</v>
          </cell>
          <cell r="D118" t="str">
            <v>مواد غذائية (باك ستريت)</v>
          </cell>
          <cell r="E118" t="str">
            <v>كيلو</v>
          </cell>
          <cell r="F118" t="str">
            <v>مشتريات مباشرة</v>
          </cell>
          <cell r="G118">
            <v>0</v>
          </cell>
        </row>
        <row r="119">
          <cell r="B119">
            <v>661</v>
          </cell>
          <cell r="C119" t="str">
            <v>لبنة</v>
          </cell>
          <cell r="D119" t="str">
            <v>مواد غذائية (باك ستريت)</v>
          </cell>
          <cell r="E119" t="str">
            <v>كيلو</v>
          </cell>
          <cell r="F119" t="str">
            <v>المراعى</v>
          </cell>
          <cell r="G119">
            <v>0</v>
          </cell>
        </row>
        <row r="120">
          <cell r="B120">
            <v>674</v>
          </cell>
          <cell r="C120" t="str">
            <v>زبادى عادى</v>
          </cell>
          <cell r="D120" t="str">
            <v>مواد غذائية (باك ستريت)</v>
          </cell>
          <cell r="E120" t="str">
            <v>كيلو</v>
          </cell>
          <cell r="F120" t="str">
            <v>المراعى</v>
          </cell>
          <cell r="G120">
            <v>11.763350000000001</v>
          </cell>
        </row>
        <row r="121">
          <cell r="B121">
            <v>748</v>
          </cell>
          <cell r="C121" t="str">
            <v>جبنة بارمزن</v>
          </cell>
          <cell r="D121" t="str">
            <v>مواد غذائية (باك ستريت)</v>
          </cell>
          <cell r="E121" t="str">
            <v>كيلو</v>
          </cell>
          <cell r="F121" t="str">
            <v>الخليج الوسطى</v>
          </cell>
          <cell r="G121">
            <v>66.52</v>
          </cell>
        </row>
        <row r="122">
          <cell r="B122">
            <v>664</v>
          </cell>
          <cell r="C122" t="str">
            <v>حليب مكثف</v>
          </cell>
          <cell r="D122" t="str">
            <v>مواد غذائية (باك ستريت)</v>
          </cell>
          <cell r="E122" t="str">
            <v>كيلو</v>
          </cell>
          <cell r="F122" t="str">
            <v>مشتريات مباشرة</v>
          </cell>
          <cell r="G122">
            <v>29.949220000000004</v>
          </cell>
        </row>
        <row r="123">
          <cell r="B123">
            <v>819</v>
          </cell>
          <cell r="C123" t="str">
            <v>شيدر ماتير</v>
          </cell>
          <cell r="D123" t="str">
            <v>مواد غذائية (باك ستريت)</v>
          </cell>
          <cell r="E123" t="str">
            <v>كيلو</v>
          </cell>
          <cell r="F123" t="str">
            <v>مشتريات مباشرة</v>
          </cell>
          <cell r="G123">
            <v>0</v>
          </cell>
        </row>
        <row r="124">
          <cell r="B124">
            <v>673</v>
          </cell>
          <cell r="C124" t="str">
            <v>جبنة فيتا</v>
          </cell>
          <cell r="D124" t="str">
            <v>مواد غذائية (باك ستريت)</v>
          </cell>
          <cell r="E124" t="str">
            <v>كيلو</v>
          </cell>
          <cell r="F124" t="str">
            <v>مشتريات مباشرة</v>
          </cell>
          <cell r="G124">
            <v>22.079700970245803</v>
          </cell>
        </row>
        <row r="125">
          <cell r="B125">
            <v>427</v>
          </cell>
          <cell r="C125" t="str">
            <v>فلفل كورى</v>
          </cell>
          <cell r="D125" t="str">
            <v>مواد غذائية (باك ستريت)</v>
          </cell>
          <cell r="E125" t="str">
            <v>كيلو</v>
          </cell>
          <cell r="F125" t="str">
            <v>العربية</v>
          </cell>
          <cell r="G125">
            <v>0</v>
          </cell>
        </row>
        <row r="126">
          <cell r="B126">
            <v>718</v>
          </cell>
          <cell r="C126" t="str">
            <v>جبنة جران مورايفا</v>
          </cell>
          <cell r="D126" t="str">
            <v>مواد غذائية (باك ستريت)</v>
          </cell>
          <cell r="E126" t="str">
            <v>كيلو</v>
          </cell>
          <cell r="F126" t="str">
            <v>مشتريات مباشرة</v>
          </cell>
          <cell r="G126">
            <v>0</v>
          </cell>
        </row>
        <row r="127">
          <cell r="B127">
            <v>669</v>
          </cell>
          <cell r="C127" t="str">
            <v>بودر مرقة دجاج</v>
          </cell>
          <cell r="D127" t="str">
            <v>مواد غذائية (باك ستريت)</v>
          </cell>
          <cell r="E127" t="str">
            <v>كيلو</v>
          </cell>
          <cell r="F127" t="str">
            <v>اليسر</v>
          </cell>
          <cell r="G127">
            <v>0</v>
          </cell>
        </row>
        <row r="128">
          <cell r="B128">
            <v>808</v>
          </cell>
          <cell r="C128" t="str">
            <v>ديمجلاس بودر</v>
          </cell>
          <cell r="D128" t="str">
            <v>مواد غذائية (باك ستريت)</v>
          </cell>
          <cell r="E128" t="str">
            <v>كيلو</v>
          </cell>
          <cell r="F128" t="str">
            <v>اليسر</v>
          </cell>
          <cell r="G128">
            <v>0</v>
          </cell>
        </row>
        <row r="129">
          <cell r="B129">
            <v>708</v>
          </cell>
          <cell r="C129" t="str">
            <v>نشا</v>
          </cell>
          <cell r="D129" t="str">
            <v>مواد غذائية (باك ستريت)</v>
          </cell>
          <cell r="E129" t="str">
            <v>كيلو</v>
          </cell>
          <cell r="F129" t="str">
            <v>مشتريات مباشرة</v>
          </cell>
          <cell r="G129">
            <v>0</v>
          </cell>
        </row>
        <row r="130">
          <cell r="B130">
            <v>676</v>
          </cell>
          <cell r="C130" t="str">
            <v>زعفران</v>
          </cell>
          <cell r="D130" t="str">
            <v>مواد غذائية (باك ستريت)</v>
          </cell>
          <cell r="E130" t="str">
            <v>جرام</v>
          </cell>
          <cell r="F130" t="str">
            <v>مشتريات مباشرة</v>
          </cell>
          <cell r="G130">
            <v>0</v>
          </cell>
        </row>
        <row r="131">
          <cell r="B131">
            <v>701</v>
          </cell>
          <cell r="C131" t="str">
            <v>بابريكا مدخن</v>
          </cell>
          <cell r="D131" t="str">
            <v>مواد غذائية (باك ستريت)</v>
          </cell>
          <cell r="E131" t="str">
            <v>كيلو</v>
          </cell>
          <cell r="F131" t="str">
            <v>تموين الشرق - فريشلي</v>
          </cell>
          <cell r="G131">
            <v>0</v>
          </cell>
        </row>
        <row r="132">
          <cell r="B132">
            <v>726</v>
          </cell>
          <cell r="C132" t="str">
            <v>بصل بودر</v>
          </cell>
          <cell r="D132" t="str">
            <v>مواد غذائية (باك ستريت)</v>
          </cell>
          <cell r="E132" t="str">
            <v>كيلو</v>
          </cell>
          <cell r="F132" t="str">
            <v>تموين الشرق - فريشلي</v>
          </cell>
          <cell r="G132">
            <v>0</v>
          </cell>
        </row>
        <row r="133">
          <cell r="B133">
            <v>768</v>
          </cell>
          <cell r="C133" t="str">
            <v>ثوم بودر</v>
          </cell>
          <cell r="D133" t="str">
            <v>مواد غذائية (باك ستريت)</v>
          </cell>
          <cell r="E133" t="str">
            <v>كيلو</v>
          </cell>
          <cell r="F133" t="str">
            <v>تموين الشرق - فريشلي</v>
          </cell>
          <cell r="G133">
            <v>0</v>
          </cell>
        </row>
        <row r="134">
          <cell r="B134">
            <v>807</v>
          </cell>
          <cell r="C134" t="str">
            <v>بهارات إيطالية</v>
          </cell>
          <cell r="D134" t="str">
            <v>مواد غذائية (باك ستريت)</v>
          </cell>
          <cell r="E134" t="str">
            <v>كيلو</v>
          </cell>
          <cell r="F134" t="str">
            <v>تموين الشرق - فريشلي</v>
          </cell>
          <cell r="G134">
            <v>0</v>
          </cell>
        </row>
        <row r="135">
          <cell r="B135">
            <v>764</v>
          </cell>
          <cell r="C135" t="str">
            <v>كركم</v>
          </cell>
          <cell r="D135" t="str">
            <v>مواد غذائية (باك ستريت)</v>
          </cell>
          <cell r="E135" t="str">
            <v>كيلو</v>
          </cell>
          <cell r="F135" t="str">
            <v>مشتريات مباشرة</v>
          </cell>
          <cell r="G135">
            <v>15.41</v>
          </cell>
        </row>
        <row r="136">
          <cell r="B136">
            <v>711</v>
          </cell>
          <cell r="C136" t="str">
            <v>كارى</v>
          </cell>
          <cell r="D136" t="str">
            <v>مواد غذائية (باك ستريت)</v>
          </cell>
          <cell r="E136" t="str">
            <v>كيلو</v>
          </cell>
          <cell r="F136" t="str">
            <v>مشتريات مباشرة</v>
          </cell>
          <cell r="G136">
            <v>32.200000000000003</v>
          </cell>
        </row>
        <row r="137">
          <cell r="B137">
            <v>730</v>
          </cell>
          <cell r="C137" t="str">
            <v>كربونات صوديوم</v>
          </cell>
          <cell r="D137" t="str">
            <v>مواد غذائية (باك ستريت)</v>
          </cell>
          <cell r="E137" t="str">
            <v>كيلو</v>
          </cell>
          <cell r="F137" t="str">
            <v>مشتريات مباشرة</v>
          </cell>
          <cell r="G137">
            <v>0</v>
          </cell>
        </row>
        <row r="138">
          <cell r="B138">
            <v>725</v>
          </cell>
          <cell r="C138" t="str">
            <v>بهارات كاجون</v>
          </cell>
          <cell r="D138" t="str">
            <v>مواد غذائية (باك ستريت)</v>
          </cell>
          <cell r="E138" t="str">
            <v>كيلو</v>
          </cell>
          <cell r="F138" t="str">
            <v>تموين الشرق - فريشلي</v>
          </cell>
          <cell r="G138">
            <v>0</v>
          </cell>
        </row>
        <row r="139">
          <cell r="B139">
            <v>732</v>
          </cell>
          <cell r="C139" t="str">
            <v>هونداشي</v>
          </cell>
          <cell r="D139" t="str">
            <v>مواد غذائية (باك ستريت)</v>
          </cell>
          <cell r="E139" t="str">
            <v>كيلو</v>
          </cell>
          <cell r="F139" t="str">
            <v>العربية</v>
          </cell>
          <cell r="G139">
            <v>0</v>
          </cell>
        </row>
        <row r="140">
          <cell r="B140">
            <v>809</v>
          </cell>
          <cell r="C140" t="str">
            <v>توجراشى</v>
          </cell>
          <cell r="D140" t="str">
            <v>مواد غذائية (باك ستريت)</v>
          </cell>
          <cell r="E140" t="str">
            <v>كيلو</v>
          </cell>
          <cell r="F140" t="str">
            <v>العربية</v>
          </cell>
          <cell r="G140">
            <v>0</v>
          </cell>
        </row>
        <row r="141">
          <cell r="B141">
            <v>788</v>
          </cell>
          <cell r="C141" t="str">
            <v>سويت بابريكا</v>
          </cell>
          <cell r="D141" t="str">
            <v>مواد غذائية (باك ستريت)</v>
          </cell>
          <cell r="E141" t="str">
            <v>كيلو</v>
          </cell>
          <cell r="F141" t="str">
            <v>تموين الشرق - فريشلي</v>
          </cell>
          <cell r="G141">
            <v>0</v>
          </cell>
        </row>
        <row r="142">
          <cell r="B142">
            <v>810</v>
          </cell>
          <cell r="C142" t="str">
            <v>ورق زعتر</v>
          </cell>
          <cell r="D142" t="str">
            <v>مواد غذائية (باك ستريت)</v>
          </cell>
          <cell r="E142" t="str">
            <v>كيلو</v>
          </cell>
          <cell r="F142" t="str">
            <v>تموين الشرق - فريشلي</v>
          </cell>
          <cell r="G142">
            <v>0</v>
          </cell>
        </row>
        <row r="143">
          <cell r="B143">
            <v>728</v>
          </cell>
          <cell r="C143" t="str">
            <v>زبدة فول سودانى</v>
          </cell>
          <cell r="D143" t="str">
            <v>مواد غذائية (باك ستريت)</v>
          </cell>
          <cell r="E143" t="str">
            <v>كيلو</v>
          </cell>
          <cell r="F143" t="str">
            <v>تموين الشرق - فريشلي</v>
          </cell>
          <cell r="G143">
            <v>0</v>
          </cell>
        </row>
        <row r="144">
          <cell r="B144">
            <v>761</v>
          </cell>
          <cell r="C144" t="str">
            <v>شمار هندى</v>
          </cell>
          <cell r="D144" t="str">
            <v>مواد غذائية (باك ستريت)</v>
          </cell>
          <cell r="E144" t="str">
            <v>كيلو</v>
          </cell>
          <cell r="F144" t="str">
            <v>مشتريات مباشرة</v>
          </cell>
          <cell r="G144">
            <v>0</v>
          </cell>
        </row>
        <row r="145">
          <cell r="B145">
            <v>688</v>
          </cell>
          <cell r="C145" t="str">
            <v>تنظيف اسماك</v>
          </cell>
          <cell r="D145" t="str">
            <v>مواد غذائية (باك ستريت)</v>
          </cell>
          <cell r="E145" t="str">
            <v>----</v>
          </cell>
          <cell r="F145">
            <v>0</v>
          </cell>
          <cell r="G145">
            <v>0</v>
          </cell>
        </row>
        <row r="146">
          <cell r="B146">
            <v>786</v>
          </cell>
          <cell r="C146" t="str">
            <v>مخلل شرائح همبرجر32اونز</v>
          </cell>
          <cell r="D146" t="str">
            <v>مواد غذائية (باك ستريت)</v>
          </cell>
          <cell r="E146" t="str">
            <v>كيلو</v>
          </cell>
          <cell r="F146" t="str">
            <v>تموين الشرق - فريشلي</v>
          </cell>
          <cell r="G146">
            <v>0</v>
          </cell>
        </row>
        <row r="147">
          <cell r="B147">
            <v>650</v>
          </cell>
          <cell r="C147" t="str">
            <v>جبنة فيلاديفيا 1650 جرام</v>
          </cell>
          <cell r="D147" t="str">
            <v>مواد غذائية (المشربية)</v>
          </cell>
          <cell r="E147" t="str">
            <v>علبة</v>
          </cell>
          <cell r="F147" t="str">
            <v>مشتريات مباشرة</v>
          </cell>
          <cell r="G147">
            <v>0</v>
          </cell>
        </row>
        <row r="148">
          <cell r="B148">
            <v>741</v>
          </cell>
          <cell r="C148" t="str">
            <v>جبنة فيتا البقرات الثلاثة</v>
          </cell>
          <cell r="D148" t="str">
            <v>مواد غذائية (المشربية)</v>
          </cell>
          <cell r="E148" t="str">
            <v>كياو</v>
          </cell>
          <cell r="F148" t="str">
            <v>المنجم</v>
          </cell>
          <cell r="G148">
            <v>11.36</v>
          </cell>
        </row>
        <row r="149">
          <cell r="B149">
            <v>459</v>
          </cell>
          <cell r="C149" t="str">
            <v>كريمة خفق 1 لتر - المشربية</v>
          </cell>
          <cell r="D149" t="str">
            <v>مواد غذائية (المشربية)</v>
          </cell>
          <cell r="E149" t="str">
            <v>لتر</v>
          </cell>
          <cell r="F149" t="str">
            <v>المراعى</v>
          </cell>
          <cell r="G149">
            <v>26.299733333333336</v>
          </cell>
        </row>
        <row r="150">
          <cell r="B150">
            <v>292</v>
          </cell>
          <cell r="C150" t="str">
            <v>ينسون فرط - المشربية</v>
          </cell>
          <cell r="D150" t="str">
            <v>مواد غذائية (المشربية)</v>
          </cell>
          <cell r="E150" t="str">
            <v>كيلو</v>
          </cell>
          <cell r="F150" t="str">
            <v>مشتريات مباشرة</v>
          </cell>
          <cell r="G150">
            <v>30.02</v>
          </cell>
        </row>
        <row r="151">
          <cell r="B151">
            <v>293</v>
          </cell>
          <cell r="C151" t="str">
            <v>حلبة حب - المشربية</v>
          </cell>
          <cell r="D151" t="str">
            <v>مواد غذائية (المشربية)</v>
          </cell>
          <cell r="E151" t="str">
            <v>كيلو</v>
          </cell>
          <cell r="F151" t="str">
            <v>مشتريات مباشرة</v>
          </cell>
          <cell r="G151">
            <v>20</v>
          </cell>
        </row>
        <row r="152">
          <cell r="B152">
            <v>294</v>
          </cell>
          <cell r="C152" t="str">
            <v>نعناع مجفف - المشربية</v>
          </cell>
          <cell r="D152" t="str">
            <v>مواد غذائية (المشربية)</v>
          </cell>
          <cell r="E152" t="str">
            <v>كيلو</v>
          </cell>
          <cell r="F152" t="str">
            <v>مشتريات مباشرة</v>
          </cell>
          <cell r="G152">
            <v>0</v>
          </cell>
        </row>
        <row r="153">
          <cell r="B153">
            <v>295</v>
          </cell>
          <cell r="C153" t="str">
            <v>سكر دايت استيفياني - المشربية</v>
          </cell>
          <cell r="D153" t="str">
            <v>مواد غذائية (المشربية)</v>
          </cell>
          <cell r="E153" t="str">
            <v>بكت</v>
          </cell>
          <cell r="F153" t="str">
            <v>مشتريات مباشرة</v>
          </cell>
          <cell r="G153">
            <v>20.13</v>
          </cell>
        </row>
        <row r="154">
          <cell r="B154">
            <v>296</v>
          </cell>
          <cell r="C154" t="str">
            <v>كركديه فرط - المشربية</v>
          </cell>
          <cell r="D154" t="str">
            <v>مواد غذائية (المشربية)</v>
          </cell>
          <cell r="E154" t="str">
            <v>كيلو</v>
          </cell>
          <cell r="F154" t="str">
            <v>مشتريات مباشرة</v>
          </cell>
          <cell r="G154">
            <v>19.943300000000001</v>
          </cell>
        </row>
        <row r="155">
          <cell r="B155">
            <v>297</v>
          </cell>
          <cell r="C155" t="str">
            <v>قرفة خشب - المشربية</v>
          </cell>
          <cell r="D155" t="str">
            <v>مواد غذائية (المشربية)</v>
          </cell>
          <cell r="E155" t="str">
            <v>كيلو</v>
          </cell>
          <cell r="F155" t="str">
            <v>مشتريات مباشرة</v>
          </cell>
          <cell r="G155">
            <v>29.558892307692311</v>
          </cell>
        </row>
        <row r="156">
          <cell r="B156">
            <v>298</v>
          </cell>
          <cell r="C156" t="str">
            <v>نسكافيه قولد - المشربية</v>
          </cell>
          <cell r="D156" t="str">
            <v>مواد غذائية (المشربية)</v>
          </cell>
          <cell r="E156" t="str">
            <v>كيلو</v>
          </cell>
          <cell r="F156" t="str">
            <v>مشتريات مباشرة</v>
          </cell>
          <cell r="G156">
            <v>242.11</v>
          </cell>
        </row>
        <row r="157">
          <cell r="B157">
            <v>300</v>
          </cell>
          <cell r="C157" t="str">
            <v>سكر ناعم - المشربية</v>
          </cell>
          <cell r="D157" t="str">
            <v>مواد غذائية (المشربية)</v>
          </cell>
          <cell r="E157" t="str">
            <v>كيلو</v>
          </cell>
          <cell r="F157" t="str">
            <v>مشتريات مباشرة</v>
          </cell>
          <cell r="G157">
            <v>3.07</v>
          </cell>
        </row>
        <row r="158">
          <cell r="B158">
            <v>323</v>
          </cell>
          <cell r="C158" t="str">
            <v>ينسون خيط - المشربية</v>
          </cell>
          <cell r="D158" t="str">
            <v>مواد غذائية (المشربية)</v>
          </cell>
          <cell r="E158" t="str">
            <v>حبة</v>
          </cell>
          <cell r="F158" t="str">
            <v>مشتريات مباشرة</v>
          </cell>
          <cell r="G158">
            <v>0.52520500000000003</v>
          </cell>
        </row>
        <row r="159">
          <cell r="B159">
            <v>324</v>
          </cell>
          <cell r="C159" t="str">
            <v>نعناع خيط - المشربية</v>
          </cell>
          <cell r="D159" t="str">
            <v>مواد غذائية (المشربية)</v>
          </cell>
          <cell r="E159" t="str">
            <v>علبة</v>
          </cell>
          <cell r="F159" t="str">
            <v>مشتريات مباشرة</v>
          </cell>
          <cell r="G159">
            <v>0.52500000000000002</v>
          </cell>
        </row>
        <row r="160">
          <cell r="B160">
            <v>327</v>
          </cell>
          <cell r="C160" t="str">
            <v>سكر بني أظرف - المشربية</v>
          </cell>
          <cell r="D160" t="str">
            <v>مواد غذائية (المشربية)</v>
          </cell>
          <cell r="E160" t="str">
            <v>بكت</v>
          </cell>
          <cell r="F160" t="str">
            <v>مشتريات مباشرة</v>
          </cell>
          <cell r="G160">
            <v>9.1999999999999998E-2</v>
          </cell>
        </row>
        <row r="161">
          <cell r="B161">
            <v>328</v>
          </cell>
          <cell r="C161" t="str">
            <v>ترمس حلو - المشربية</v>
          </cell>
          <cell r="D161" t="str">
            <v>مواد غذائية (المشربية)</v>
          </cell>
          <cell r="E161" t="str">
            <v>كيلو</v>
          </cell>
          <cell r="F161" t="str">
            <v>مشتريات مباشرة</v>
          </cell>
          <cell r="G161">
            <v>8.0500000000000007</v>
          </cell>
        </row>
        <row r="162">
          <cell r="B162">
            <v>357</v>
          </cell>
          <cell r="C162" t="str">
            <v>قهوة تركي - المشربية</v>
          </cell>
          <cell r="D162" t="str">
            <v>مواد غذائية (المشربية)</v>
          </cell>
          <cell r="E162" t="str">
            <v>كيلو</v>
          </cell>
          <cell r="F162" t="str">
            <v>مشتريات مباشرة</v>
          </cell>
          <cell r="G162">
            <v>80</v>
          </cell>
        </row>
        <row r="163">
          <cell r="B163">
            <v>367</v>
          </cell>
          <cell r="C163" t="str">
            <v>قهوة اسبريسو - المشربية</v>
          </cell>
          <cell r="D163" t="str">
            <v>مواد غذائية (المشربية)</v>
          </cell>
          <cell r="E163" t="str">
            <v>كيلو</v>
          </cell>
          <cell r="F163" t="str">
            <v>مشتريات مباشرة</v>
          </cell>
          <cell r="G163">
            <v>73.928571428571431</v>
          </cell>
        </row>
        <row r="164">
          <cell r="B164">
            <v>375</v>
          </cell>
          <cell r="C164" t="str">
            <v>شاي أخضر خيط - المشربية</v>
          </cell>
          <cell r="D164" t="str">
            <v>مواد غذائية (المشربية)</v>
          </cell>
          <cell r="E164" t="str">
            <v>علبة</v>
          </cell>
          <cell r="F164" t="str">
            <v>مشتريات مباشرة</v>
          </cell>
          <cell r="G164">
            <v>0.31299933333333335</v>
          </cell>
        </row>
        <row r="165">
          <cell r="B165">
            <v>377</v>
          </cell>
          <cell r="C165" t="str">
            <v>قرنفل حب - المشربية</v>
          </cell>
          <cell r="D165" t="str">
            <v>مواد غذائية (المشربية)</v>
          </cell>
          <cell r="E165" t="str">
            <v>كيلو</v>
          </cell>
          <cell r="F165" t="str">
            <v>مشتريات مباشرة</v>
          </cell>
          <cell r="G165">
            <v>46.29</v>
          </cell>
        </row>
        <row r="166">
          <cell r="B166">
            <v>382</v>
          </cell>
          <cell r="C166" t="str">
            <v>فشار البطل كراميل - المشربية</v>
          </cell>
          <cell r="D166" t="str">
            <v>مواد غذائية (المشربية)</v>
          </cell>
          <cell r="E166" t="str">
            <v>كيس</v>
          </cell>
          <cell r="F166" t="str">
            <v>مشتريات مباشرة</v>
          </cell>
          <cell r="G166">
            <v>5.6758767195767188</v>
          </cell>
        </row>
        <row r="167">
          <cell r="B167">
            <v>391</v>
          </cell>
          <cell r="C167" t="str">
            <v>شاي الربيع 100 خيط - المشربية</v>
          </cell>
          <cell r="D167" t="str">
            <v>مواد غذائية (المشربية)</v>
          </cell>
          <cell r="E167" t="str">
            <v>علبة</v>
          </cell>
          <cell r="F167" t="str">
            <v>مشتريات مباشرة</v>
          </cell>
          <cell r="G167">
            <v>0.12112638973421053</v>
          </cell>
        </row>
        <row r="168">
          <cell r="B168">
            <v>392</v>
          </cell>
          <cell r="C168" t="str">
            <v>شاي الكبوس فرط - المشربية</v>
          </cell>
          <cell r="D168" t="str">
            <v>مواد غذائية (المشربية)</v>
          </cell>
          <cell r="E168" t="str">
            <v>كيلو</v>
          </cell>
          <cell r="F168" t="str">
            <v>مشتريات مباشرة</v>
          </cell>
          <cell r="G168">
            <v>32.549999999999997</v>
          </cell>
        </row>
        <row r="169">
          <cell r="B169">
            <v>393</v>
          </cell>
          <cell r="C169" t="str">
            <v>زنجبيل بودرة - المشربية</v>
          </cell>
          <cell r="D169" t="str">
            <v>مواد غذائية (المشربية)</v>
          </cell>
          <cell r="E169" t="str">
            <v>كيلو</v>
          </cell>
          <cell r="F169" t="str">
            <v>مشتريات مباشرة</v>
          </cell>
          <cell r="G169">
            <v>15.56</v>
          </cell>
        </row>
        <row r="170">
          <cell r="B170">
            <v>394</v>
          </cell>
          <cell r="C170" t="str">
            <v>شاي ليبتون 100 خيط - المشربية</v>
          </cell>
          <cell r="D170" t="str">
            <v>مواد غذائية (المشربية)</v>
          </cell>
          <cell r="E170" t="str">
            <v>علبة</v>
          </cell>
          <cell r="F170" t="str">
            <v>مشتريات مباشرة</v>
          </cell>
          <cell r="G170">
            <v>0.1994997</v>
          </cell>
        </row>
        <row r="171">
          <cell r="B171">
            <v>395</v>
          </cell>
          <cell r="C171" t="str">
            <v>مربى الفراولة - المشربية</v>
          </cell>
          <cell r="D171" t="str">
            <v>مواد غذائية (المشربية)</v>
          </cell>
          <cell r="E171" t="str">
            <v>كيلو</v>
          </cell>
          <cell r="F171" t="str">
            <v>مشتريات مباشرة</v>
          </cell>
          <cell r="G171">
            <v>10</v>
          </cell>
        </row>
        <row r="172">
          <cell r="B172">
            <v>406</v>
          </cell>
          <cell r="C172" t="str">
            <v>آيس كريم فانيلا 2 لتر - المشربية</v>
          </cell>
          <cell r="D172" t="str">
            <v>مواد غذائية (المشربية)</v>
          </cell>
          <cell r="E172" t="str">
            <v>لتر</v>
          </cell>
          <cell r="F172" t="str">
            <v>مشتريات مباشرة</v>
          </cell>
          <cell r="G172">
            <v>12.11985</v>
          </cell>
        </row>
        <row r="173">
          <cell r="B173">
            <v>410</v>
          </cell>
          <cell r="C173" t="str">
            <v>سيروب بندق - المشربية</v>
          </cell>
          <cell r="D173" t="str">
            <v>مواد غذائية (المشربية)</v>
          </cell>
          <cell r="E173" t="str">
            <v>لتر</v>
          </cell>
          <cell r="F173" t="str">
            <v>مشتريات مباشرة</v>
          </cell>
          <cell r="G173">
            <v>0</v>
          </cell>
        </row>
        <row r="174">
          <cell r="B174">
            <v>412</v>
          </cell>
          <cell r="C174" t="str">
            <v>سيروب بطيخ - المشربية</v>
          </cell>
          <cell r="D174" t="str">
            <v>مواد غذائية (المشربية)</v>
          </cell>
          <cell r="E174" t="str">
            <v>لتر</v>
          </cell>
          <cell r="F174" t="str">
            <v>مشتريات مباشرة</v>
          </cell>
          <cell r="G174">
            <v>0</v>
          </cell>
        </row>
        <row r="175">
          <cell r="B175">
            <v>413</v>
          </cell>
          <cell r="C175" t="str">
            <v>سيروب رمان - المشربية</v>
          </cell>
          <cell r="D175" t="str">
            <v>مواد غذائية (المشربية)</v>
          </cell>
          <cell r="E175" t="str">
            <v>لتر</v>
          </cell>
          <cell r="F175" t="str">
            <v>مشتريات مباشرة</v>
          </cell>
          <cell r="G175">
            <v>0</v>
          </cell>
        </row>
        <row r="176">
          <cell r="B176">
            <v>415</v>
          </cell>
          <cell r="C176" t="str">
            <v>هوت شوكليت - المشربية</v>
          </cell>
          <cell r="D176" t="str">
            <v>مواد غذائية (المشربية)</v>
          </cell>
          <cell r="E176" t="str">
            <v>لتر</v>
          </cell>
          <cell r="F176" t="str">
            <v>مشتريات مباشرة</v>
          </cell>
          <cell r="G176">
            <v>63.165999999999997</v>
          </cell>
        </row>
        <row r="177">
          <cell r="B177">
            <v>416</v>
          </cell>
          <cell r="C177" t="str">
            <v>صوص شوكلاته - المشربية 2 ونص كيلو</v>
          </cell>
          <cell r="D177" t="str">
            <v>مواد غذائية (المشربية)</v>
          </cell>
          <cell r="E177" t="str">
            <v>لتر</v>
          </cell>
          <cell r="F177" t="str">
            <v>مشتريات مباشرة</v>
          </cell>
          <cell r="G177">
            <v>61.153549999999996</v>
          </cell>
        </row>
        <row r="178">
          <cell r="B178">
            <v>418</v>
          </cell>
          <cell r="C178" t="str">
            <v>صوص كراميل - المشربية</v>
          </cell>
          <cell r="D178" t="str">
            <v>مواد غذائية (المشربية)</v>
          </cell>
          <cell r="E178" t="str">
            <v>لتر</v>
          </cell>
          <cell r="F178" t="str">
            <v>مشتريات مباشرة</v>
          </cell>
          <cell r="G178">
            <v>0</v>
          </cell>
        </row>
        <row r="179">
          <cell r="B179">
            <v>423</v>
          </cell>
          <cell r="C179" t="str">
            <v>قهوة بندق - المشربية</v>
          </cell>
          <cell r="D179" t="str">
            <v>مواد غذائية (المشربية)</v>
          </cell>
          <cell r="E179" t="str">
            <v>كيلو</v>
          </cell>
          <cell r="F179" t="str">
            <v>مشتريات مباشرة</v>
          </cell>
          <cell r="G179">
            <v>99.2</v>
          </cell>
        </row>
        <row r="180">
          <cell r="B180">
            <v>435</v>
          </cell>
          <cell r="C180" t="str">
            <v>لوتس مطحون - المشربية</v>
          </cell>
          <cell r="D180" t="str">
            <v>مواد غذائية (المشربية)</v>
          </cell>
          <cell r="E180" t="str">
            <v>كيلو</v>
          </cell>
          <cell r="F180" t="str">
            <v>مشتريات مباشرة</v>
          </cell>
          <cell r="G180">
            <v>0</v>
          </cell>
        </row>
        <row r="181">
          <cell r="B181">
            <v>442</v>
          </cell>
          <cell r="C181" t="str">
            <v>مكسرات مشكلة - المشربية</v>
          </cell>
          <cell r="D181" t="str">
            <v>مواد غذائية (المشربية)</v>
          </cell>
          <cell r="E181" t="str">
            <v>كيلو</v>
          </cell>
          <cell r="F181" t="str">
            <v>مشتريات مباشرة</v>
          </cell>
          <cell r="G181">
            <v>86.414694991423673</v>
          </cell>
        </row>
        <row r="182">
          <cell r="B182">
            <v>450</v>
          </cell>
          <cell r="C182" t="str">
            <v>لب مشكل - المشربية</v>
          </cell>
          <cell r="D182" t="str">
            <v>مواد غذائية (المشربية)</v>
          </cell>
          <cell r="E182" t="str">
            <v>كيلو</v>
          </cell>
          <cell r="F182" t="str">
            <v>مشتريات مباشرة</v>
          </cell>
          <cell r="G182">
            <v>33.434935357056567</v>
          </cell>
        </row>
        <row r="183">
          <cell r="B183">
            <v>455</v>
          </cell>
          <cell r="C183" t="str">
            <v>كريمة لوتس 8 كيلو - المشربية</v>
          </cell>
          <cell r="D183" t="str">
            <v>مواد غذائية (المشربية)</v>
          </cell>
          <cell r="E183" t="str">
            <v>كيلو</v>
          </cell>
          <cell r="F183" t="str">
            <v>مشتريات مباشرة</v>
          </cell>
          <cell r="G183">
            <v>0</v>
          </cell>
        </row>
        <row r="184">
          <cell r="B184">
            <v>468</v>
          </cell>
          <cell r="C184" t="str">
            <v>كريمة كندر 5 كيلو - المشربية</v>
          </cell>
          <cell r="D184" t="str">
            <v>مواد غذائية (المشربية)</v>
          </cell>
          <cell r="E184" t="str">
            <v>كيلو</v>
          </cell>
          <cell r="F184" t="str">
            <v>مشتريات مباشرة</v>
          </cell>
          <cell r="G184">
            <v>0</v>
          </cell>
        </row>
        <row r="185">
          <cell r="B185">
            <v>469</v>
          </cell>
          <cell r="C185" t="str">
            <v>صوص بستاشيو 5.5 كيلو - المشربية</v>
          </cell>
          <cell r="D185" t="str">
            <v>مواد غذائية (المشربية)</v>
          </cell>
          <cell r="E185" t="str">
            <v>كيلو</v>
          </cell>
          <cell r="F185" t="str">
            <v>مشتريات مباشرة</v>
          </cell>
          <cell r="G185">
            <v>0</v>
          </cell>
        </row>
        <row r="186">
          <cell r="B186">
            <v>478</v>
          </cell>
          <cell r="C186" t="str">
            <v>بسكويت كندر</v>
          </cell>
          <cell r="D186" t="str">
            <v>مواد غذائية (المشربية)</v>
          </cell>
          <cell r="E186" t="str">
            <v>حبة</v>
          </cell>
          <cell r="F186" t="str">
            <v>مشتريات مباشرة</v>
          </cell>
          <cell r="G186">
            <v>3.5</v>
          </cell>
        </row>
        <row r="187">
          <cell r="B187">
            <v>479</v>
          </cell>
          <cell r="C187" t="str">
            <v>بسكويت لوتس</v>
          </cell>
          <cell r="D187" t="str">
            <v>مواد غذائية (المشربية)</v>
          </cell>
          <cell r="E187" t="str">
            <v>حبة</v>
          </cell>
          <cell r="F187" t="str">
            <v>مشتريات مباشرة</v>
          </cell>
          <cell r="G187">
            <v>0.30772257111111112</v>
          </cell>
        </row>
        <row r="188">
          <cell r="B188">
            <v>482</v>
          </cell>
          <cell r="C188" t="str">
            <v>جبنة فيلادلفيا كريم 500 جرام</v>
          </cell>
          <cell r="D188" t="str">
            <v>مواد غذائية (المشربية)</v>
          </cell>
          <cell r="E188" t="str">
            <v>علبة</v>
          </cell>
          <cell r="F188" t="str">
            <v>مشتريات مباشرة</v>
          </cell>
          <cell r="G188">
            <v>62.9</v>
          </cell>
        </row>
        <row r="189">
          <cell r="B189">
            <v>483</v>
          </cell>
          <cell r="C189" t="str">
            <v>بسكويت أوريو</v>
          </cell>
          <cell r="D189" t="str">
            <v>مواد غذائية (المشربية)</v>
          </cell>
          <cell r="E189" t="str">
            <v>حبة</v>
          </cell>
          <cell r="F189" t="str">
            <v>مشتريات مباشرة</v>
          </cell>
          <cell r="G189">
            <v>0.83</v>
          </cell>
        </row>
        <row r="190">
          <cell r="B190">
            <v>484</v>
          </cell>
          <cell r="C190" t="str">
            <v>كريمة عابد</v>
          </cell>
          <cell r="D190" t="str">
            <v>مواد غذائية (المشربية)</v>
          </cell>
          <cell r="E190" t="str">
            <v>لتر</v>
          </cell>
          <cell r="F190" t="str">
            <v>مشتريات مباشرة</v>
          </cell>
          <cell r="G190">
            <v>16.085707142857142</v>
          </cell>
        </row>
        <row r="191">
          <cell r="B191">
            <v>485</v>
          </cell>
          <cell r="C191" t="str">
            <v>سحلب - المشربية</v>
          </cell>
          <cell r="D191" t="str">
            <v>مواد غذائية (المشربية)</v>
          </cell>
          <cell r="E191" t="str">
            <v>كيلو</v>
          </cell>
          <cell r="F191" t="str">
            <v>مشتريات مباشرة</v>
          </cell>
          <cell r="G191">
            <v>36.361311702127658</v>
          </cell>
        </row>
        <row r="192">
          <cell r="B192">
            <v>487</v>
          </cell>
          <cell r="C192" t="str">
            <v xml:space="preserve">بيج بودر </v>
          </cell>
          <cell r="D192" t="str">
            <v>مواد غذائية (المشربية)</v>
          </cell>
          <cell r="E192" t="str">
            <v>كيلو</v>
          </cell>
          <cell r="F192" t="str">
            <v>مشتريات مباشرة</v>
          </cell>
          <cell r="G192">
            <v>12.9</v>
          </cell>
        </row>
        <row r="193">
          <cell r="B193">
            <v>488</v>
          </cell>
          <cell r="C193" t="str">
            <v>فانيلا</v>
          </cell>
          <cell r="D193" t="str">
            <v>مواد غذائية (المشربية)</v>
          </cell>
          <cell r="E193" t="str">
            <v>كيلو</v>
          </cell>
          <cell r="F193" t="str">
            <v>مشتريات مباشرة</v>
          </cell>
          <cell r="G193">
            <v>2.9992000000000001</v>
          </cell>
        </row>
        <row r="194">
          <cell r="B194">
            <v>489</v>
          </cell>
          <cell r="C194" t="str">
            <v>عسل 1 كيلو</v>
          </cell>
          <cell r="D194" t="str">
            <v>مواد غذائية (المشربية)</v>
          </cell>
          <cell r="E194" t="str">
            <v>كيلو</v>
          </cell>
          <cell r="F194" t="str">
            <v>مشتريات مباشرة</v>
          </cell>
          <cell r="G194">
            <v>47.001419999999996</v>
          </cell>
        </row>
        <row r="195">
          <cell r="B195">
            <v>492</v>
          </cell>
          <cell r="C195" t="str">
            <v>دريم ويب شانتيه 144 جرام - المشربية</v>
          </cell>
          <cell r="D195" t="str">
            <v>مواد غذائية (المشربية)</v>
          </cell>
          <cell r="E195" t="str">
            <v>علبة</v>
          </cell>
          <cell r="F195" t="str">
            <v>مشتريات مباشرة</v>
          </cell>
          <cell r="G195">
            <v>91.64</v>
          </cell>
        </row>
        <row r="196">
          <cell r="B196">
            <v>497</v>
          </cell>
          <cell r="C196" t="str">
            <v>نوتيلا شكولاته 3 كيلو - المشربية</v>
          </cell>
          <cell r="D196" t="str">
            <v>مواد غذائية (المشربية)</v>
          </cell>
          <cell r="E196" t="str">
            <v>كيلو</v>
          </cell>
          <cell r="F196" t="str">
            <v>مشتريات مباشرة</v>
          </cell>
          <cell r="G196">
            <v>35.15</v>
          </cell>
        </row>
        <row r="197">
          <cell r="B197">
            <v>557</v>
          </cell>
          <cell r="C197" t="str">
            <v>شاي انجليزي</v>
          </cell>
          <cell r="D197" t="str">
            <v>مواد غذائية (المشربية)</v>
          </cell>
          <cell r="E197" t="str">
            <v>كيلو</v>
          </cell>
          <cell r="F197" t="str">
            <v>مشتريات مباشرة</v>
          </cell>
          <cell r="G197">
            <v>0</v>
          </cell>
        </row>
        <row r="198">
          <cell r="B198">
            <v>602</v>
          </cell>
          <cell r="C198" t="str">
            <v>زبيب</v>
          </cell>
          <cell r="D198" t="str">
            <v>مواد غذائية (المشربية)</v>
          </cell>
          <cell r="E198" t="str">
            <v>كيلو</v>
          </cell>
          <cell r="F198" t="str">
            <v>مشتريات مباشرة</v>
          </cell>
          <cell r="G198">
            <v>17.25</v>
          </cell>
        </row>
        <row r="199">
          <cell r="B199">
            <v>790</v>
          </cell>
          <cell r="C199" t="str">
            <v>زيت دلال 17 لتر</v>
          </cell>
          <cell r="D199" t="str">
            <v>مواد غذائية (المشربية)</v>
          </cell>
          <cell r="E199" t="str">
            <v>تنك</v>
          </cell>
          <cell r="F199" t="str">
            <v>الفارس العالمي</v>
          </cell>
          <cell r="G199">
            <v>105.8</v>
          </cell>
        </row>
        <row r="200">
          <cell r="B200">
            <v>739</v>
          </cell>
          <cell r="C200" t="str">
            <v>استربس كرتونة 10كيس * 750 جرام</v>
          </cell>
          <cell r="D200" t="str">
            <v>مواد غذائية (المشربية)</v>
          </cell>
          <cell r="E200" t="str">
            <v>كيلو</v>
          </cell>
          <cell r="F200" t="str">
            <v>امريكانا</v>
          </cell>
          <cell r="G200">
            <v>27.420281325301204</v>
          </cell>
        </row>
        <row r="201">
          <cell r="B201">
            <v>628</v>
          </cell>
          <cell r="C201" t="str">
            <v>فول مجروش</v>
          </cell>
          <cell r="D201" t="str">
            <v>مواد غذائية (المشربية)</v>
          </cell>
          <cell r="E201" t="str">
            <v>كيلو</v>
          </cell>
          <cell r="F201" t="str">
            <v>مشتريات مباشرة</v>
          </cell>
          <cell r="G201">
            <v>26.385599999999997</v>
          </cell>
        </row>
        <row r="202">
          <cell r="B202">
            <v>624</v>
          </cell>
          <cell r="C202" t="str">
            <v>جبنة كرافت</v>
          </cell>
          <cell r="D202" t="str">
            <v>مواد غذائية (المشربية)</v>
          </cell>
          <cell r="E202" t="str">
            <v>كيلو</v>
          </cell>
          <cell r="F202" t="str">
            <v>مشتريات مباشرة</v>
          </cell>
          <cell r="G202">
            <v>31.61</v>
          </cell>
        </row>
        <row r="203">
          <cell r="B203">
            <v>622</v>
          </cell>
          <cell r="C203" t="str">
            <v>مرقة دجاج ماجى</v>
          </cell>
          <cell r="D203" t="str">
            <v>مواد غذائية (المشربية)</v>
          </cell>
          <cell r="E203" t="str">
            <v>كيلو</v>
          </cell>
          <cell r="F203" t="str">
            <v>مشتريات مباشرة</v>
          </cell>
          <cell r="G203">
            <v>27.7</v>
          </cell>
        </row>
        <row r="204">
          <cell r="B204">
            <v>621</v>
          </cell>
          <cell r="C204" t="str">
            <v>معجون طماطم</v>
          </cell>
          <cell r="D204" t="str">
            <v>مواد غذائية (المشربية)</v>
          </cell>
          <cell r="E204" t="str">
            <v>علبة</v>
          </cell>
          <cell r="F204" t="str">
            <v>مشتريات مباشرة</v>
          </cell>
          <cell r="G204">
            <v>12.15</v>
          </cell>
        </row>
        <row r="205">
          <cell r="B205">
            <v>601</v>
          </cell>
          <cell r="C205" t="str">
            <v>جوز هند مطحون</v>
          </cell>
          <cell r="D205" t="str">
            <v>مواد غذائية (المشربية)</v>
          </cell>
          <cell r="E205" t="str">
            <v>كيلو</v>
          </cell>
          <cell r="F205" t="str">
            <v>مشتريات مباشرة</v>
          </cell>
          <cell r="G205">
            <v>20.13</v>
          </cell>
        </row>
        <row r="206">
          <cell r="B206">
            <v>680</v>
          </cell>
          <cell r="C206" t="str">
            <v>فول حب</v>
          </cell>
          <cell r="D206" t="str">
            <v>مواد غذائية (المشربية)</v>
          </cell>
          <cell r="E206" t="str">
            <v>كيلو</v>
          </cell>
          <cell r="F206" t="str">
            <v>مشتريات مباشرة</v>
          </cell>
          <cell r="G206">
            <v>8.8219053578336535</v>
          </cell>
        </row>
        <row r="207">
          <cell r="B207">
            <v>735</v>
          </cell>
          <cell r="C207" t="str">
            <v>قشطة</v>
          </cell>
          <cell r="D207" t="str">
            <v>مواد غذائية (المشربية)</v>
          </cell>
          <cell r="E207" t="str">
            <v>كيلو</v>
          </cell>
          <cell r="F207" t="str">
            <v>مشتريات مباشرة</v>
          </cell>
          <cell r="G207">
            <v>39.999299999999991</v>
          </cell>
        </row>
        <row r="208">
          <cell r="B208">
            <v>760</v>
          </cell>
          <cell r="C208" t="str">
            <v>جبنة رومي</v>
          </cell>
          <cell r="D208" t="str">
            <v>مواد غذائية (المشربية)</v>
          </cell>
          <cell r="E208" t="str">
            <v>كيلو</v>
          </cell>
          <cell r="F208" t="str">
            <v>مشتريات مباشرة</v>
          </cell>
          <cell r="G208">
            <v>49.95</v>
          </cell>
        </row>
        <row r="209">
          <cell r="B209">
            <v>775</v>
          </cell>
          <cell r="C209" t="str">
            <v>بندق ابيض</v>
          </cell>
          <cell r="D209" t="str">
            <v>مواد غذائية (المشربية)</v>
          </cell>
          <cell r="E209" t="str">
            <v>كيلو</v>
          </cell>
          <cell r="F209" t="str">
            <v>الجميل</v>
          </cell>
          <cell r="G209">
            <v>86.25</v>
          </cell>
        </row>
        <row r="210">
          <cell r="B210">
            <v>776</v>
          </cell>
          <cell r="C210" t="str">
            <v>فسدق مبشور</v>
          </cell>
          <cell r="D210" t="str">
            <v>مواد غذائية (المشربية)</v>
          </cell>
          <cell r="E210" t="str">
            <v>كيلو</v>
          </cell>
          <cell r="F210" t="str">
            <v>الجميل</v>
          </cell>
          <cell r="G210">
            <v>69</v>
          </cell>
        </row>
        <row r="211">
          <cell r="B211">
            <v>736</v>
          </cell>
          <cell r="C211" t="str">
            <v>حلاة الجميل</v>
          </cell>
          <cell r="D211" t="str">
            <v>مواد غذائية (المشربية)</v>
          </cell>
          <cell r="E211" t="str">
            <v>كيلو</v>
          </cell>
          <cell r="F211" t="str">
            <v>الجميل</v>
          </cell>
          <cell r="G211">
            <v>12.94</v>
          </cell>
        </row>
        <row r="212">
          <cell r="B212">
            <v>737</v>
          </cell>
          <cell r="C212" t="str">
            <v>جبنة كيري</v>
          </cell>
          <cell r="D212" t="str">
            <v>مواد غذائية (المشربية)</v>
          </cell>
          <cell r="E212" t="str">
            <v>حبة</v>
          </cell>
          <cell r="F212" t="str">
            <v>مشتريات مباشرة</v>
          </cell>
          <cell r="G212">
            <v>0.82364656000000003</v>
          </cell>
        </row>
        <row r="213">
          <cell r="B213">
            <v>738</v>
          </cell>
          <cell r="C213" t="str">
            <v>مخلل مشكل المشربية</v>
          </cell>
          <cell r="D213" t="str">
            <v>مواد غذائية (المشربية)</v>
          </cell>
          <cell r="E213" t="str">
            <v>كيلو</v>
          </cell>
          <cell r="F213" t="str">
            <v>مشتريات مباشرة</v>
          </cell>
          <cell r="G213">
            <v>3.5</v>
          </cell>
        </row>
        <row r="214">
          <cell r="B214">
            <v>753</v>
          </cell>
          <cell r="C214" t="str">
            <v>صوص شطة حار</v>
          </cell>
          <cell r="D214" t="str">
            <v>مواد غذائية (المشربية)</v>
          </cell>
          <cell r="E214" t="str">
            <v>كيلو</v>
          </cell>
          <cell r="F214" t="str">
            <v>مشتريات مباشرة</v>
          </cell>
          <cell r="G214">
            <v>4.7770999999999999</v>
          </cell>
        </row>
        <row r="215">
          <cell r="B215">
            <v>778</v>
          </cell>
          <cell r="C215" t="str">
            <v>عدس احمر</v>
          </cell>
          <cell r="D215" t="str">
            <v>مواد غذائية (المشربية)</v>
          </cell>
          <cell r="E215" t="str">
            <v>كيلو</v>
          </cell>
          <cell r="F215" t="str">
            <v>مشتريات مباشرة</v>
          </cell>
          <cell r="G215">
            <v>4.5999999999999996</v>
          </cell>
        </row>
        <row r="216">
          <cell r="B216">
            <v>618</v>
          </cell>
          <cell r="C216" t="str">
            <v>بسطرمة</v>
          </cell>
          <cell r="D216" t="str">
            <v>مواد غذائية (المشربية)</v>
          </cell>
          <cell r="E216" t="str">
            <v>كيلو</v>
          </cell>
          <cell r="F216" t="str">
            <v>الجوهرة</v>
          </cell>
          <cell r="G216">
            <v>147.09873737623764</v>
          </cell>
        </row>
        <row r="217">
          <cell r="B217">
            <v>475</v>
          </cell>
          <cell r="C217" t="str">
            <v>زيت قلي العربي 17 لتر</v>
          </cell>
          <cell r="D217" t="str">
            <v>مواد غذائية (المشربية)</v>
          </cell>
          <cell r="E217" t="str">
            <v>تنك</v>
          </cell>
          <cell r="F217" t="str">
            <v>الفارس العالمي</v>
          </cell>
          <cell r="G217">
            <v>110.49476</v>
          </cell>
        </row>
        <row r="218">
          <cell r="B218">
            <v>299</v>
          </cell>
          <cell r="C218" t="str">
            <v>سكر بنى</v>
          </cell>
          <cell r="D218" t="str">
            <v>مواد غذائية (المشربية)</v>
          </cell>
          <cell r="E218" t="str">
            <v>كيلو</v>
          </cell>
          <cell r="F218" t="str">
            <v>مشتريات مباشرة</v>
          </cell>
          <cell r="G218">
            <v>16.7</v>
          </cell>
        </row>
        <row r="219">
          <cell r="B219">
            <v>749</v>
          </cell>
          <cell r="C219" t="str">
            <v>خلطة بهارات مشكله</v>
          </cell>
          <cell r="D219" t="str">
            <v>مواد غذائية (المشربية)</v>
          </cell>
          <cell r="E219" t="str">
            <v>كيلو</v>
          </cell>
          <cell r="F219" t="str">
            <v>مشتريات مباشرة</v>
          </cell>
          <cell r="G219">
            <v>38.119999999999997</v>
          </cell>
        </row>
        <row r="220">
          <cell r="B220">
            <v>817</v>
          </cell>
          <cell r="C220" t="str">
            <v>عصير برتقال الربيع</v>
          </cell>
          <cell r="D220" t="str">
            <v>المشروبات (المشربية)</v>
          </cell>
          <cell r="E220" t="str">
            <v>حبة</v>
          </cell>
          <cell r="F220" t="str">
            <v>مشتريات مباشرة</v>
          </cell>
          <cell r="G220">
            <v>1.63</v>
          </cell>
        </row>
        <row r="221">
          <cell r="B221">
            <v>629</v>
          </cell>
          <cell r="C221" t="str">
            <v>كود ريد كبير250مم</v>
          </cell>
          <cell r="D221" t="str">
            <v>المشروبات (المشربية)</v>
          </cell>
          <cell r="E221" t="str">
            <v>كرتون</v>
          </cell>
          <cell r="F221" t="str">
            <v>مشتريات مباشرة</v>
          </cell>
          <cell r="G221">
            <v>136.99949999999998</v>
          </cell>
        </row>
        <row r="222">
          <cell r="B222">
            <v>637</v>
          </cell>
          <cell r="C222" t="str">
            <v>كود ريد صغير185 مم</v>
          </cell>
          <cell r="D222" t="str">
            <v>المشروبات (المشربية)</v>
          </cell>
          <cell r="E222" t="str">
            <v>كرتون</v>
          </cell>
          <cell r="F222" t="str">
            <v>مشتريات مباشرة</v>
          </cell>
          <cell r="G222">
            <v>91.17</v>
          </cell>
        </row>
        <row r="223">
          <cell r="B223">
            <v>2</v>
          </cell>
          <cell r="C223" t="str">
            <v>كوكاكولا  24*250مل</v>
          </cell>
          <cell r="D223" t="str">
            <v>المشروبات (طحينة)</v>
          </cell>
          <cell r="E223" t="str">
            <v>كرتون</v>
          </cell>
          <cell r="F223" t="str">
            <v>كوكاكولا</v>
          </cell>
          <cell r="G223">
            <v>49.493512896825401</v>
          </cell>
        </row>
        <row r="224">
          <cell r="B224">
            <v>3</v>
          </cell>
          <cell r="C224" t="str">
            <v>كوكاكولا زيرو 24*250مل</v>
          </cell>
          <cell r="D224" t="str">
            <v>المشروبات (طحينة)</v>
          </cell>
          <cell r="E224" t="str">
            <v>كرتون</v>
          </cell>
          <cell r="F224" t="str">
            <v>كوكاكولا</v>
          </cell>
          <cell r="G224">
            <v>53.049500000000009</v>
          </cell>
        </row>
        <row r="225">
          <cell r="B225">
            <v>4</v>
          </cell>
          <cell r="C225" t="str">
            <v>كوكاكولا لايت 24*250مل</v>
          </cell>
          <cell r="D225" t="str">
            <v>المشروبات (طحينة)</v>
          </cell>
          <cell r="E225" t="str">
            <v>كرتون</v>
          </cell>
          <cell r="F225" t="str">
            <v>كوكاكولا</v>
          </cell>
          <cell r="G225">
            <v>53.056930769230767</v>
          </cell>
        </row>
        <row r="226">
          <cell r="B226">
            <v>5</v>
          </cell>
          <cell r="C226" t="str">
            <v>سبرايت 24*250مل</v>
          </cell>
          <cell r="D226" t="str">
            <v>المشروبات (طحينة)</v>
          </cell>
          <cell r="E226" t="str">
            <v>كرتون</v>
          </cell>
          <cell r="F226" t="str">
            <v>كوكاكولا</v>
          </cell>
          <cell r="G226">
            <v>49.273731092436982</v>
          </cell>
        </row>
        <row r="227">
          <cell r="B227">
            <v>6</v>
          </cell>
          <cell r="C227" t="str">
            <v>مياه بيرين 40*330مل</v>
          </cell>
          <cell r="D227" t="str">
            <v>المشروبات (طحينة)</v>
          </cell>
          <cell r="E227" t="str">
            <v>كرتون</v>
          </cell>
          <cell r="F227" t="str">
            <v>شركة برين</v>
          </cell>
          <cell r="G227">
            <v>14.375</v>
          </cell>
        </row>
        <row r="228">
          <cell r="B228">
            <v>682</v>
          </cell>
          <cell r="C228" t="str">
            <v>بيبسي</v>
          </cell>
          <cell r="D228" t="str">
            <v>مشروبات ( باك ستريت)</v>
          </cell>
          <cell r="E228" t="str">
            <v>كرتون</v>
          </cell>
          <cell r="F228" t="str">
            <v>عبدالهادي القحطاني</v>
          </cell>
          <cell r="G228">
            <v>0</v>
          </cell>
        </row>
        <row r="229">
          <cell r="B229">
            <v>630</v>
          </cell>
          <cell r="C229" t="str">
            <v>سفن أب 24*250مل</v>
          </cell>
          <cell r="D229" t="str">
            <v>مشروبات ( باك ستريت)</v>
          </cell>
          <cell r="E229" t="str">
            <v>كرتون</v>
          </cell>
          <cell r="F229" t="str">
            <v>عبدالهادي القحطاني</v>
          </cell>
          <cell r="G229">
            <v>44.48</v>
          </cell>
        </row>
        <row r="230">
          <cell r="B230">
            <v>698</v>
          </cell>
          <cell r="C230" t="str">
            <v>ميرندا</v>
          </cell>
          <cell r="D230" t="str">
            <v>مشروبات ( باك ستريت)</v>
          </cell>
          <cell r="E230" t="str">
            <v>كرتون</v>
          </cell>
          <cell r="F230" t="str">
            <v>عبدالهادي القحطاني</v>
          </cell>
          <cell r="G230">
            <v>0</v>
          </cell>
        </row>
        <row r="231">
          <cell r="B231">
            <v>796</v>
          </cell>
          <cell r="C231" t="str">
            <v>بيبسي دايت</v>
          </cell>
          <cell r="D231" t="str">
            <v>مشروبات ( باك ستريت)</v>
          </cell>
          <cell r="E231" t="str">
            <v>كرتون</v>
          </cell>
          <cell r="F231" t="str">
            <v>عبدالهادي القحطاني</v>
          </cell>
          <cell r="G231">
            <v>0</v>
          </cell>
        </row>
        <row r="232">
          <cell r="B232">
            <v>797</v>
          </cell>
          <cell r="C232" t="str">
            <v>ديو</v>
          </cell>
          <cell r="D232" t="str">
            <v>مشروبات ( باك ستريت)</v>
          </cell>
          <cell r="E232" t="str">
            <v>كرتون</v>
          </cell>
          <cell r="F232" t="str">
            <v>عبدالهادي القحطاني</v>
          </cell>
          <cell r="G232">
            <v>0</v>
          </cell>
        </row>
        <row r="233">
          <cell r="B233">
            <v>690</v>
          </cell>
          <cell r="C233" t="str">
            <v>سيزار اناناس</v>
          </cell>
          <cell r="D233" t="str">
            <v>مشروبات ( باك ستريت)</v>
          </cell>
          <cell r="E233" t="str">
            <v>كرتون</v>
          </cell>
          <cell r="F233" t="str">
            <v>مشتريات مباشرة</v>
          </cell>
          <cell r="G233">
            <v>0</v>
          </cell>
        </row>
        <row r="234">
          <cell r="B234">
            <v>815</v>
          </cell>
          <cell r="C234" t="str">
            <v>سيزار برتقال جزر</v>
          </cell>
          <cell r="D234" t="str">
            <v>مشروبات ( باك ستريت)</v>
          </cell>
          <cell r="E234" t="str">
            <v>كرتون</v>
          </cell>
          <cell r="F234" t="str">
            <v>مشتريات مباشرة</v>
          </cell>
          <cell r="G234">
            <v>0</v>
          </cell>
        </row>
        <row r="235">
          <cell r="B235">
            <v>816</v>
          </cell>
          <cell r="C235" t="str">
            <v>سيزار مشكل</v>
          </cell>
          <cell r="D235" t="str">
            <v>مشروبات ( باك ستريت)</v>
          </cell>
          <cell r="E235" t="str">
            <v>كرتون</v>
          </cell>
          <cell r="F235" t="str">
            <v>مشتريات مباشرة</v>
          </cell>
          <cell r="G235">
            <v>0</v>
          </cell>
        </row>
        <row r="236">
          <cell r="B236">
            <v>851</v>
          </cell>
          <cell r="C236" t="str">
            <v>معسل بطيخ نعناع 500 جرام</v>
          </cell>
          <cell r="D236" t="str">
            <v>الشيشة</v>
          </cell>
          <cell r="E236" t="str">
            <v>باكت</v>
          </cell>
          <cell r="F236" t="str">
            <v>معسلات المشربية</v>
          </cell>
          <cell r="G236">
            <v>134</v>
          </cell>
        </row>
        <row r="237">
          <cell r="B237">
            <v>359</v>
          </cell>
          <cell r="C237" t="str">
            <v>لي شيشة بلاستيك - المشربية</v>
          </cell>
          <cell r="D237" t="str">
            <v>الشيشة</v>
          </cell>
          <cell r="E237" t="str">
            <v>حبة</v>
          </cell>
          <cell r="F237" t="str">
            <v>معسلات المشربية</v>
          </cell>
          <cell r="G237">
            <v>0.60000100000000001</v>
          </cell>
        </row>
        <row r="238">
          <cell r="B238">
            <v>384</v>
          </cell>
          <cell r="C238" t="str">
            <v>فحم شيشة - المشربية</v>
          </cell>
          <cell r="D238" t="str">
            <v>الشيشة</v>
          </cell>
          <cell r="E238" t="str">
            <v>باكت</v>
          </cell>
          <cell r="F238" t="str">
            <v>معسلات المشربية</v>
          </cell>
          <cell r="G238">
            <v>12.000159210526316</v>
          </cell>
        </row>
        <row r="239">
          <cell r="B239">
            <v>385</v>
          </cell>
          <cell r="C239" t="str">
            <v>قصدير شيشة - المشربية</v>
          </cell>
          <cell r="D239" t="str">
            <v>الشيشة</v>
          </cell>
          <cell r="E239" t="str">
            <v>رول</v>
          </cell>
          <cell r="F239" t="str">
            <v>معسلات المشربية</v>
          </cell>
          <cell r="G239">
            <v>4.9952550000000002</v>
          </cell>
        </row>
        <row r="240">
          <cell r="B240">
            <v>397</v>
          </cell>
          <cell r="C240" t="str">
            <v>معسل تفاحتين الفاخر 500 جرام - المشربية</v>
          </cell>
          <cell r="D240" t="str">
            <v>الشيشة</v>
          </cell>
          <cell r="E240" t="str">
            <v>باكت</v>
          </cell>
          <cell r="F240" t="str">
            <v>معسلات المشربية</v>
          </cell>
          <cell r="G240">
            <v>139.99985000000001</v>
          </cell>
        </row>
        <row r="241">
          <cell r="B241">
            <v>402</v>
          </cell>
          <cell r="C241" t="str">
            <v>لي شيشة زجاج شفاف - المشربية</v>
          </cell>
          <cell r="D241" t="str">
            <v>الشيشة</v>
          </cell>
          <cell r="E241" t="str">
            <v>حبة</v>
          </cell>
          <cell r="F241" t="str">
            <v>معسلات المشربية</v>
          </cell>
          <cell r="G241">
            <v>1.3998489999999999</v>
          </cell>
        </row>
        <row r="242">
          <cell r="B242">
            <v>403</v>
          </cell>
          <cell r="C242" t="str">
            <v>مبسم شيشة - المشربية</v>
          </cell>
          <cell r="D242" t="str">
            <v>الشيشة</v>
          </cell>
          <cell r="E242" t="str">
            <v>كيس</v>
          </cell>
          <cell r="F242" t="str">
            <v>معسلات المشربية</v>
          </cell>
          <cell r="G242">
            <v>2.1567009803921571</v>
          </cell>
        </row>
        <row r="243">
          <cell r="B243">
            <v>420</v>
          </cell>
          <cell r="C243" t="str">
            <v>لي شيشة هفان - المشربية</v>
          </cell>
          <cell r="D243" t="str">
            <v>الشيشة</v>
          </cell>
          <cell r="E243" t="str">
            <v>حبة</v>
          </cell>
          <cell r="F243" t="str">
            <v>معسلات المشربية</v>
          </cell>
          <cell r="G243">
            <v>0</v>
          </cell>
        </row>
        <row r="244">
          <cell r="B244">
            <v>443</v>
          </cell>
          <cell r="C244" t="str">
            <v>معسل تفاحتين نخلة 500 جرام - المشربية</v>
          </cell>
          <cell r="D244" t="str">
            <v>الشيشة</v>
          </cell>
          <cell r="E244" t="str">
            <v>باكت</v>
          </cell>
          <cell r="F244" t="str">
            <v>معسلات المشربية</v>
          </cell>
          <cell r="G244">
            <v>145.62493124999997</v>
          </cell>
        </row>
        <row r="245">
          <cell r="B245">
            <v>451</v>
          </cell>
          <cell r="C245" t="str">
            <v>معسل بطيخ 250 جرام  - المشربية</v>
          </cell>
          <cell r="D245" t="str">
            <v>الشيشة</v>
          </cell>
          <cell r="E245" t="str">
            <v>بكت</v>
          </cell>
          <cell r="F245" t="str">
            <v>معسلات المشربية</v>
          </cell>
          <cell r="G245">
            <v>76</v>
          </cell>
        </row>
        <row r="246">
          <cell r="B246">
            <v>456</v>
          </cell>
          <cell r="C246" t="str">
            <v>معسل بطيخ 500 جرام - المشربية</v>
          </cell>
          <cell r="D246" t="str">
            <v>الشيشة</v>
          </cell>
          <cell r="E246" t="str">
            <v>بكت</v>
          </cell>
          <cell r="F246" t="str">
            <v>معسلات المشربية</v>
          </cell>
          <cell r="G246">
            <v>134</v>
          </cell>
        </row>
        <row r="247">
          <cell r="B247">
            <v>457</v>
          </cell>
          <cell r="C247" t="str">
            <v>معسل عنب توت 500 جرام - المشربية</v>
          </cell>
          <cell r="D247" t="str">
            <v>الشيشة</v>
          </cell>
          <cell r="E247" t="str">
            <v>بكت</v>
          </cell>
          <cell r="F247" t="str">
            <v>معسلات المشربية</v>
          </cell>
          <cell r="G247">
            <v>135.58790882352943</v>
          </cell>
        </row>
        <row r="248">
          <cell r="B248">
            <v>458</v>
          </cell>
          <cell r="C248" t="str">
            <v>معسل عنب نعناع 500 جرام - المشربية</v>
          </cell>
          <cell r="D248" t="str">
            <v>الشيشة</v>
          </cell>
          <cell r="E248" t="str">
            <v>بكت</v>
          </cell>
          <cell r="F248" t="str">
            <v>معسلات المشربية</v>
          </cell>
          <cell r="G248">
            <v>134.99958947368421</v>
          </cell>
        </row>
        <row r="249">
          <cell r="B249">
            <v>460</v>
          </cell>
          <cell r="C249" t="str">
            <v>معسل ليمون نعناع 500 جرام - المشربية</v>
          </cell>
          <cell r="D249" t="str">
            <v>الشيشة</v>
          </cell>
          <cell r="E249" t="str">
            <v>بكت</v>
          </cell>
          <cell r="F249" t="str">
            <v>معسلات المشربية</v>
          </cell>
          <cell r="G249">
            <v>134.99955416666666</v>
          </cell>
        </row>
        <row r="250">
          <cell r="B250">
            <v>465</v>
          </cell>
          <cell r="C250" t="str">
            <v>معسل تفاحتين الفاخر 300 جرام- المشربيه</v>
          </cell>
          <cell r="D250" t="str">
            <v>الشيشة</v>
          </cell>
          <cell r="E250" t="str">
            <v>بكت</v>
          </cell>
          <cell r="F250" t="str">
            <v>معسلات المشربية</v>
          </cell>
          <cell r="G250">
            <v>134</v>
          </cell>
        </row>
        <row r="251">
          <cell r="B251">
            <v>466</v>
          </cell>
          <cell r="C251" t="str">
            <v>معسل بلو بيري الفاخر 500 جرام - المشربية</v>
          </cell>
          <cell r="D251" t="str">
            <v>الشيشة</v>
          </cell>
          <cell r="E251" t="str">
            <v>بكت</v>
          </cell>
          <cell r="F251" t="str">
            <v>معسلات المشربية</v>
          </cell>
          <cell r="G251">
            <v>134.99965</v>
          </cell>
        </row>
        <row r="252">
          <cell r="B252">
            <v>473</v>
          </cell>
          <cell r="C252" t="str">
            <v>معسل مستكة 500 جرام - المشربية</v>
          </cell>
          <cell r="D252" t="str">
            <v>الشيشة</v>
          </cell>
          <cell r="E252" t="str">
            <v>بكت</v>
          </cell>
          <cell r="F252" t="str">
            <v>معسلات المشربية</v>
          </cell>
          <cell r="G252">
            <v>135</v>
          </cell>
        </row>
        <row r="253">
          <cell r="B253">
            <v>499</v>
          </cell>
          <cell r="C253" t="str">
            <v>معسل عنب 500 جرام - المشربية</v>
          </cell>
          <cell r="D253" t="str">
            <v>الشيشة</v>
          </cell>
          <cell r="E253" t="str">
            <v>بكت</v>
          </cell>
          <cell r="F253" t="str">
            <v>معسلات المشربية</v>
          </cell>
          <cell r="G253">
            <v>135.000225</v>
          </cell>
        </row>
        <row r="254">
          <cell r="B254">
            <v>508</v>
          </cell>
          <cell r="C254" t="str">
            <v>جلبة لي شيشة -المشربية</v>
          </cell>
          <cell r="D254" t="str">
            <v>الشيشة</v>
          </cell>
          <cell r="E254" t="str">
            <v>بكت</v>
          </cell>
          <cell r="F254" t="str">
            <v>معسلات المشربية</v>
          </cell>
          <cell r="G254">
            <v>0</v>
          </cell>
        </row>
        <row r="255">
          <cell r="B255">
            <v>513</v>
          </cell>
          <cell r="C255" t="str">
            <v>معسل بلو بيري الفاخر 300 جرام - المشربية</v>
          </cell>
          <cell r="D255" t="str">
            <v>الشيشة</v>
          </cell>
          <cell r="E255" t="str">
            <v>باكت</v>
          </cell>
          <cell r="F255" t="str">
            <v>معسلات المشربية</v>
          </cell>
          <cell r="G255">
            <v>134</v>
          </cell>
        </row>
        <row r="256">
          <cell r="B256">
            <v>550</v>
          </cell>
          <cell r="C256" t="str">
            <v xml:space="preserve"> نكهة شيشة</v>
          </cell>
          <cell r="D256" t="str">
            <v>الشيشة</v>
          </cell>
          <cell r="E256" t="str">
            <v>بكت</v>
          </cell>
          <cell r="F256" t="str">
            <v>معسلات المشربية</v>
          </cell>
          <cell r="G256">
            <v>0</v>
          </cell>
        </row>
        <row r="257">
          <cell r="B257">
            <v>553</v>
          </cell>
          <cell r="C257" t="str">
            <v>ابرة شيشة خرام راس مسمار</v>
          </cell>
          <cell r="D257" t="str">
            <v>الشيشة</v>
          </cell>
          <cell r="E257" t="str">
            <v>حبة</v>
          </cell>
          <cell r="F257" t="str">
            <v>معسلات المشربية</v>
          </cell>
          <cell r="G257">
            <v>1.0004999999999999</v>
          </cell>
        </row>
        <row r="258">
          <cell r="B258">
            <v>606</v>
          </cell>
          <cell r="C258" t="str">
            <v>معسل نعناع 250 جرام  - المشربية</v>
          </cell>
          <cell r="D258" t="str">
            <v>الشيشة</v>
          </cell>
          <cell r="E258" t="str">
            <v>باكت</v>
          </cell>
          <cell r="F258" t="str">
            <v>معسلات المشربية</v>
          </cell>
          <cell r="G258">
            <v>0</v>
          </cell>
        </row>
        <row r="259">
          <cell r="B259">
            <v>607</v>
          </cell>
          <cell r="C259" t="str">
            <v>معسل علكة نعناع 250 جرام  - المشربية</v>
          </cell>
          <cell r="D259" t="str">
            <v>الشيشة</v>
          </cell>
          <cell r="E259" t="str">
            <v>باكت</v>
          </cell>
          <cell r="F259" t="str">
            <v>معسلات المشربية</v>
          </cell>
          <cell r="G259">
            <v>62.5</v>
          </cell>
        </row>
        <row r="260">
          <cell r="B260">
            <v>608</v>
          </cell>
          <cell r="C260" t="str">
            <v>معسل بطيخ نعناع 250 جرام  - المشربية</v>
          </cell>
          <cell r="D260" t="str">
            <v>الشيشة</v>
          </cell>
          <cell r="E260" t="str">
            <v>باكت</v>
          </cell>
          <cell r="F260" t="str">
            <v>معسلات المشربية</v>
          </cell>
          <cell r="G260">
            <v>67.500399999999999</v>
          </cell>
        </row>
        <row r="261">
          <cell r="B261">
            <v>792</v>
          </cell>
          <cell r="C261" t="str">
            <v>معسل نعناع 500جرام</v>
          </cell>
          <cell r="D261" t="str">
            <v>الشيشة</v>
          </cell>
          <cell r="E261" t="str">
            <v>باكت</v>
          </cell>
          <cell r="F261" t="str">
            <v>معسلات المشربية</v>
          </cell>
          <cell r="G261">
            <v>134.99965</v>
          </cell>
        </row>
        <row r="262">
          <cell r="B262">
            <v>811</v>
          </cell>
          <cell r="C262" t="str">
            <v>معسل عنب نعناع 300جرام</v>
          </cell>
          <cell r="D262" t="str">
            <v>الشيشة</v>
          </cell>
          <cell r="E262" t="str">
            <v>باكت</v>
          </cell>
          <cell r="F262" t="str">
            <v>معسلات المشربية</v>
          </cell>
          <cell r="G262">
            <v>65</v>
          </cell>
        </row>
        <row r="263">
          <cell r="B263">
            <v>812</v>
          </cell>
          <cell r="C263" t="str">
            <v>معسل ليمون نعناع 300جرام</v>
          </cell>
          <cell r="D263" t="str">
            <v>الشيشة</v>
          </cell>
          <cell r="E263" t="str">
            <v>باكت</v>
          </cell>
          <cell r="F263" t="str">
            <v>معسلات المشربية</v>
          </cell>
          <cell r="G263">
            <v>65</v>
          </cell>
        </row>
        <row r="264">
          <cell r="B264">
            <v>177</v>
          </cell>
          <cell r="C264" t="str">
            <v>رول تغليف 6 كيلو</v>
          </cell>
          <cell r="D264" t="str">
            <v>تعبئة وتغليف (طحينة)</v>
          </cell>
          <cell r="E264" t="str">
            <v>رول</v>
          </cell>
          <cell r="F264" t="str">
            <v>معسلات المشربية</v>
          </cell>
          <cell r="G264">
            <v>0</v>
          </cell>
        </row>
        <row r="265">
          <cell r="B265">
            <v>13</v>
          </cell>
          <cell r="C265" t="str">
            <v>علب طحينة 2</v>
          </cell>
          <cell r="D265" t="str">
            <v>تعبئة وتغليف (طحينة)</v>
          </cell>
          <cell r="E265" t="str">
            <v>حبة</v>
          </cell>
          <cell r="F265" t="str">
            <v>واد العطاء</v>
          </cell>
          <cell r="G265">
            <v>4.1825925925925926E-2</v>
          </cell>
        </row>
        <row r="266">
          <cell r="B266">
            <v>139</v>
          </cell>
          <cell r="C266" t="str">
            <v>علب طماطم 4</v>
          </cell>
          <cell r="D266" t="str">
            <v>تعبئة وتغليف (طحينة)</v>
          </cell>
          <cell r="E266" t="str">
            <v>حبة</v>
          </cell>
          <cell r="F266" t="str">
            <v>واد العطاء</v>
          </cell>
          <cell r="G266">
            <v>8.8819148936170211E-2</v>
          </cell>
        </row>
        <row r="267">
          <cell r="B267">
            <v>390</v>
          </cell>
          <cell r="C267" t="str">
            <v>ملاعق مغلفة أسود - مطبوع طحينة</v>
          </cell>
          <cell r="D267" t="str">
            <v>تعبئة وتغليف (طحينة)</v>
          </cell>
          <cell r="E267" t="str">
            <v>حبة</v>
          </cell>
          <cell r="F267" t="str">
            <v>واد العطاء</v>
          </cell>
          <cell r="G267">
            <v>0.1012</v>
          </cell>
        </row>
        <row r="268">
          <cell r="B268">
            <v>463</v>
          </cell>
          <cell r="C268" t="str">
            <v>أطباق قنبلة بلاستيك</v>
          </cell>
          <cell r="D268" t="str">
            <v>تعبئة وتغليف (طحينة)</v>
          </cell>
          <cell r="E268" t="str">
            <v>حبة</v>
          </cell>
          <cell r="F268" t="str">
            <v>واد العطاء</v>
          </cell>
          <cell r="G268">
            <v>0.30244999999999994</v>
          </cell>
        </row>
        <row r="269">
          <cell r="B269">
            <v>117</v>
          </cell>
          <cell r="C269" t="str">
            <v>أطباق فلين كبير</v>
          </cell>
          <cell r="D269" t="str">
            <v>تعبئة وتغليف (طحينة)</v>
          </cell>
          <cell r="E269" t="str">
            <v>حبة</v>
          </cell>
          <cell r="F269" t="str">
            <v>واد العطاء</v>
          </cell>
          <cell r="G269">
            <v>0.18284999999999998</v>
          </cell>
        </row>
        <row r="270">
          <cell r="B270">
            <v>118</v>
          </cell>
          <cell r="C270" t="str">
            <v>أطباق فلين صغير</v>
          </cell>
          <cell r="D270" t="str">
            <v>تعبئة وتغليف (طحينة)</v>
          </cell>
          <cell r="E270" t="str">
            <v>حبة</v>
          </cell>
          <cell r="F270" t="str">
            <v>واد العطاء</v>
          </cell>
          <cell r="G270">
            <v>0.10925</v>
          </cell>
        </row>
        <row r="271">
          <cell r="B271">
            <v>48</v>
          </cell>
          <cell r="C271" t="str">
            <v>رول زبدة للخبز</v>
          </cell>
          <cell r="D271" t="str">
            <v>تعبئة وتغليف (طحينة)</v>
          </cell>
          <cell r="E271" t="str">
            <v>رول</v>
          </cell>
          <cell r="F271" t="str">
            <v>الظاهرى</v>
          </cell>
          <cell r="G271">
            <v>4.3604167049999996</v>
          </cell>
        </row>
        <row r="272">
          <cell r="B272">
            <v>571</v>
          </cell>
          <cell r="C272" t="str">
            <v>أكياس شفاف نايلون خبز</v>
          </cell>
          <cell r="D272" t="str">
            <v>تعبئة وتغليف (طحينة)</v>
          </cell>
          <cell r="E272" t="str">
            <v>كيلو</v>
          </cell>
          <cell r="F272" t="str">
            <v>الظاهرى</v>
          </cell>
          <cell r="G272">
            <v>7.7193750383333333</v>
          </cell>
        </row>
        <row r="273">
          <cell r="B273">
            <v>517</v>
          </cell>
          <cell r="C273" t="str">
            <v>أكياس اسطف شدة مقاس 22</v>
          </cell>
          <cell r="D273" t="str">
            <v>تعبئة وتغليف (طحينة)</v>
          </cell>
          <cell r="E273" t="str">
            <v>كيلو</v>
          </cell>
          <cell r="F273" t="str">
            <v>الظاهرى</v>
          </cell>
          <cell r="G273">
            <v>6.4814000000000007</v>
          </cell>
        </row>
        <row r="274">
          <cell r="B274">
            <v>158</v>
          </cell>
          <cell r="C274" t="str">
            <v>أعواد أسنان</v>
          </cell>
          <cell r="D274" t="str">
            <v>تعبئة وتغليف (طحينة)</v>
          </cell>
          <cell r="E274" t="str">
            <v>بكت 1000 حبة</v>
          </cell>
          <cell r="F274" t="str">
            <v>الظاهرى</v>
          </cell>
          <cell r="G274">
            <v>5.75</v>
          </cell>
        </row>
        <row r="275">
          <cell r="B275">
            <v>191</v>
          </cell>
          <cell r="C275" t="str">
            <v>أكياس بهارات 6</v>
          </cell>
          <cell r="D275" t="str">
            <v>تعبئة وتغليف (طحينة)</v>
          </cell>
          <cell r="E275" t="str">
            <v>كيلو</v>
          </cell>
          <cell r="F275" t="str">
            <v>الظاهرى</v>
          </cell>
          <cell r="G275">
            <v>7.4749999999999996</v>
          </cell>
        </row>
        <row r="276">
          <cell r="B276">
            <v>192</v>
          </cell>
          <cell r="C276" t="str">
            <v>أكياس بهارات 8</v>
          </cell>
          <cell r="D276" t="str">
            <v>تعبئة وتغليف (طحينة)</v>
          </cell>
          <cell r="E276" t="str">
            <v>كيلو</v>
          </cell>
          <cell r="F276" t="str">
            <v>الظاهرى</v>
          </cell>
          <cell r="G276">
            <v>7.76</v>
          </cell>
        </row>
        <row r="277">
          <cell r="B277">
            <v>10</v>
          </cell>
          <cell r="C277" t="str">
            <v>صحن مشاوي ألمنيوم</v>
          </cell>
          <cell r="D277" t="str">
            <v>تعبئة وتغليف (طحينة)</v>
          </cell>
          <cell r="E277" t="str">
            <v>حبة</v>
          </cell>
          <cell r="F277" t="str">
            <v>واد العطاء</v>
          </cell>
          <cell r="G277">
            <v>0.16807692307692307</v>
          </cell>
        </row>
        <row r="278">
          <cell r="B278">
            <v>18</v>
          </cell>
          <cell r="C278" t="str">
            <v>أطباق ورق حواوشي</v>
          </cell>
          <cell r="D278" t="str">
            <v>تعبئة وتغليف (طحينة)</v>
          </cell>
          <cell r="E278" t="str">
            <v>حبة</v>
          </cell>
          <cell r="F278" t="str">
            <v>واد العطاء</v>
          </cell>
          <cell r="G278">
            <v>5.3743318000000005E-2</v>
          </cell>
        </row>
        <row r="279">
          <cell r="B279">
            <v>791</v>
          </cell>
          <cell r="C279" t="str">
            <v xml:space="preserve">رول قصدير 30سم *1350 جرام </v>
          </cell>
          <cell r="D279" t="str">
            <v>تعبئة وتغليف (طحينة)</v>
          </cell>
          <cell r="E279" t="str">
            <v>رول</v>
          </cell>
          <cell r="F279" t="str">
            <v>واد العطاء</v>
          </cell>
          <cell r="G279">
            <v>22.401161578125002</v>
          </cell>
        </row>
        <row r="280">
          <cell r="B280">
            <v>26</v>
          </cell>
          <cell r="C280" t="str">
            <v>مناديل سفرة</v>
          </cell>
          <cell r="D280" t="str">
            <v>تعبئة وتغليف (طحينة)</v>
          </cell>
          <cell r="E280" t="str">
            <v>حبة</v>
          </cell>
          <cell r="F280" t="str">
            <v>الظاهرى</v>
          </cell>
          <cell r="G280">
            <v>3.4599999999999999E-2</v>
          </cell>
        </row>
        <row r="281">
          <cell r="B281">
            <v>178</v>
          </cell>
          <cell r="C281" t="str">
            <v>مناديل معطرة غير مطبوع</v>
          </cell>
          <cell r="D281" t="str">
            <v>تعبئة وتغليف (طحينة)</v>
          </cell>
          <cell r="E281" t="str">
            <v>حبة</v>
          </cell>
          <cell r="F281" t="str">
            <v>فيرم</v>
          </cell>
          <cell r="G281">
            <v>0</v>
          </cell>
        </row>
        <row r="282">
          <cell r="B282">
            <v>476</v>
          </cell>
          <cell r="C282" t="str">
            <v>ورق بطاطس مسطح</v>
          </cell>
          <cell r="D282" t="str">
            <v>تعبئة وتغليف (طحينة)</v>
          </cell>
          <cell r="E282" t="str">
            <v>حبة</v>
          </cell>
          <cell r="F282" t="str">
            <v>فيرم</v>
          </cell>
          <cell r="G282">
            <v>0</v>
          </cell>
        </row>
        <row r="283">
          <cell r="B283">
            <v>535</v>
          </cell>
          <cell r="C283" t="str">
            <v>رول تغليف 5 كيلو</v>
          </cell>
          <cell r="D283" t="str">
            <v>تعبئة وتغليف (طحينة)</v>
          </cell>
          <cell r="E283" t="str">
            <v>رول</v>
          </cell>
          <cell r="F283" t="str">
            <v>واد العطاء</v>
          </cell>
          <cell r="G283">
            <v>38.837719298245617</v>
          </cell>
        </row>
        <row r="284">
          <cell r="B284">
            <v>11</v>
          </cell>
          <cell r="C284" t="str">
            <v>رول قصدير</v>
          </cell>
          <cell r="D284" t="str">
            <v>تعبئة وتغليف (طحينة)</v>
          </cell>
          <cell r="E284" t="str">
            <v>رول</v>
          </cell>
          <cell r="F284" t="str">
            <v>ابوسهم</v>
          </cell>
          <cell r="G284">
            <v>17.25</v>
          </cell>
        </row>
        <row r="285">
          <cell r="B285">
            <v>593</v>
          </cell>
          <cell r="C285" t="str">
            <v>شوك مغلفة أسود - غير مطبوع</v>
          </cell>
          <cell r="D285" t="str">
            <v>تعبئة وتغليف (المشربية)</v>
          </cell>
          <cell r="E285" t="str">
            <v>حبة</v>
          </cell>
          <cell r="F285" t="str">
            <v>الظاهرى</v>
          </cell>
          <cell r="G285">
            <v>8.6249999999999993E-2</v>
          </cell>
        </row>
        <row r="286">
          <cell r="B286">
            <v>594</v>
          </cell>
          <cell r="C286" t="str">
            <v>ملاعق مغلفة أسود - غير مطبوع</v>
          </cell>
          <cell r="D286" t="str">
            <v>تعبئة وتغليف (المشربية)</v>
          </cell>
          <cell r="E286" t="str">
            <v>حبة</v>
          </cell>
          <cell r="F286" t="str">
            <v>الظاهرى</v>
          </cell>
          <cell r="G286">
            <v>0.10349999999999999</v>
          </cell>
        </row>
        <row r="287">
          <cell r="B287">
            <v>379</v>
          </cell>
          <cell r="C287" t="str">
            <v>أكواب شاي ورقية - المشربية</v>
          </cell>
          <cell r="D287" t="str">
            <v>تعبئة وتغليف (المشربية)</v>
          </cell>
          <cell r="E287" t="str">
            <v>حبة</v>
          </cell>
          <cell r="F287" t="str">
            <v>الظاهرى</v>
          </cell>
          <cell r="G287">
            <v>0.26214390243902441</v>
          </cell>
        </row>
        <row r="288">
          <cell r="B288">
            <v>380</v>
          </cell>
          <cell r="C288" t="str">
            <v>أكواب عصير شفاف - المشربية</v>
          </cell>
          <cell r="D288" t="str">
            <v>تعبئة وتغليف (المشربية)</v>
          </cell>
          <cell r="E288" t="str">
            <v>حبة</v>
          </cell>
          <cell r="F288" t="str">
            <v>الظاهرى</v>
          </cell>
          <cell r="G288">
            <v>0.21274999999999999</v>
          </cell>
        </row>
        <row r="289">
          <cell r="B289">
            <v>389</v>
          </cell>
          <cell r="C289" t="str">
            <v>شنطة سفري أبيض 36</v>
          </cell>
          <cell r="D289" t="str">
            <v>تعبئة وتغليف (المشربية)</v>
          </cell>
          <cell r="E289" t="str">
            <v>حبة</v>
          </cell>
          <cell r="F289" t="str">
            <v>مشتريات مباشرة</v>
          </cell>
          <cell r="G289">
            <v>0.72</v>
          </cell>
        </row>
        <row r="290">
          <cell r="B290">
            <v>404</v>
          </cell>
          <cell r="C290" t="str">
            <v>أعواد تحريك-المشربية</v>
          </cell>
          <cell r="D290" t="str">
            <v>تعبئة وتغليف (المشربية)</v>
          </cell>
          <cell r="E290" t="str">
            <v>بكت</v>
          </cell>
          <cell r="F290" t="str">
            <v>مشتريات مباشرة</v>
          </cell>
          <cell r="G290">
            <v>4.8875000000000002</v>
          </cell>
        </row>
        <row r="291">
          <cell r="B291">
            <v>437</v>
          </cell>
          <cell r="C291" t="str">
            <v>أطباق بلاستيك أسود بغطاء 16</v>
          </cell>
          <cell r="D291" t="str">
            <v>تعبئة وتغليف (المشربية)</v>
          </cell>
          <cell r="E291" t="str">
            <v>حبة</v>
          </cell>
          <cell r="F291" t="str">
            <v>الظاهرى</v>
          </cell>
          <cell r="G291">
            <v>0</v>
          </cell>
        </row>
        <row r="292">
          <cell r="B292">
            <v>438</v>
          </cell>
          <cell r="C292" t="str">
            <v>أعواد خشب مشاوي - المشربية</v>
          </cell>
          <cell r="D292" t="str">
            <v>تعبئة وتغليف (المشربية)</v>
          </cell>
          <cell r="E292" t="str">
            <v>بكت</v>
          </cell>
          <cell r="F292" t="str">
            <v>الظاهرى</v>
          </cell>
          <cell r="G292">
            <v>1.3915</v>
          </cell>
        </row>
        <row r="293">
          <cell r="B293">
            <v>462</v>
          </cell>
          <cell r="C293" t="str">
            <v>شنطة سفري أسود 29 - المشربية</v>
          </cell>
          <cell r="D293" t="str">
            <v>تعبئة وتغليف (المشربية)</v>
          </cell>
          <cell r="E293" t="str">
            <v>حبة</v>
          </cell>
          <cell r="F293" t="str">
            <v>مشتريات مباشرة</v>
          </cell>
          <cell r="G293">
            <v>1.0004999999999999</v>
          </cell>
        </row>
        <row r="294">
          <cell r="B294">
            <v>491</v>
          </cell>
          <cell r="C294" t="str">
            <v>أغطية أكواب شاي أسود - المشربية</v>
          </cell>
          <cell r="D294" t="str">
            <v>تعبئة وتغليف (المشربية)</v>
          </cell>
          <cell r="E294" t="str">
            <v>حبة</v>
          </cell>
          <cell r="F294" t="str">
            <v>الظاهرى</v>
          </cell>
          <cell r="G294">
            <v>0</v>
          </cell>
        </row>
        <row r="295">
          <cell r="B295">
            <v>464</v>
          </cell>
          <cell r="C295" t="str">
            <v>أطباق كشري - المشربية</v>
          </cell>
          <cell r="D295" t="str">
            <v>تعبئة وتغليف (المشربية)</v>
          </cell>
          <cell r="E295" t="str">
            <v>حبة</v>
          </cell>
          <cell r="F295" t="str">
            <v>مشتريات مباشرة</v>
          </cell>
          <cell r="G295">
            <v>0</v>
          </cell>
        </row>
        <row r="296">
          <cell r="B296">
            <v>490</v>
          </cell>
          <cell r="C296" t="str">
            <v>أطباق قشطوطة بلاستيك 24</v>
          </cell>
          <cell r="D296" t="str">
            <v>تعبئة وتغليف (المشربية)</v>
          </cell>
          <cell r="E296" t="str">
            <v>حبة</v>
          </cell>
          <cell r="F296" t="str">
            <v>الظاهرى</v>
          </cell>
          <cell r="G296">
            <v>0.74</v>
          </cell>
        </row>
        <row r="297">
          <cell r="B297">
            <v>783</v>
          </cell>
          <cell r="C297" t="str">
            <v>حامل اكواب</v>
          </cell>
          <cell r="D297" t="str">
            <v>تعبئة وتغليف (المشربية)</v>
          </cell>
          <cell r="E297" t="str">
            <v>حبة</v>
          </cell>
          <cell r="F297" t="str">
            <v>مشتريات مباشرة</v>
          </cell>
          <cell r="G297">
            <v>0.35995000000000005</v>
          </cell>
        </row>
        <row r="298">
          <cell r="B298">
            <v>381</v>
          </cell>
          <cell r="C298" t="str">
            <v xml:space="preserve">مصاص أسود مغلف </v>
          </cell>
          <cell r="D298" t="str">
            <v>تعبئة وتغليف (المشربية)</v>
          </cell>
          <cell r="E298" t="str">
            <v>شدة</v>
          </cell>
          <cell r="F298" t="str">
            <v>الظاهرى</v>
          </cell>
          <cell r="G298">
            <v>2.5300000000000002</v>
          </cell>
        </row>
        <row r="299">
          <cell r="B299">
            <v>744</v>
          </cell>
          <cell r="C299" t="str">
            <v xml:space="preserve">علبة قصب مستطیلة ١٠٠٠ مل </v>
          </cell>
          <cell r="D299" t="str">
            <v>تعبئة و تغليف (باك ستريت)</v>
          </cell>
          <cell r="E299" t="str">
            <v>حبة</v>
          </cell>
          <cell r="F299" t="str">
            <v>وساطة وضمان</v>
          </cell>
          <cell r="G299">
            <v>0</v>
          </cell>
        </row>
        <row r="300">
          <cell r="B300">
            <v>685</v>
          </cell>
          <cell r="C300" t="str">
            <v xml:space="preserve">علبة قصب بیضاوي ٨٥٠ مل </v>
          </cell>
          <cell r="D300" t="str">
            <v>تعبئة و تغليف (باك ستريت)</v>
          </cell>
          <cell r="E300" t="str">
            <v>حبة</v>
          </cell>
          <cell r="F300" t="str">
            <v>وساطة وضمان</v>
          </cell>
          <cell r="G300">
            <v>0</v>
          </cell>
        </row>
        <row r="301">
          <cell r="B301">
            <v>745</v>
          </cell>
          <cell r="C301" t="str">
            <v xml:space="preserve">علبة برجر قصب ٤٥٠ مل </v>
          </cell>
          <cell r="D301" t="str">
            <v>تعبئة و تغليف (باك ستريت)</v>
          </cell>
          <cell r="E301" t="str">
            <v>حبة</v>
          </cell>
          <cell r="F301" t="str">
            <v>الظاهرى</v>
          </cell>
          <cell r="G301">
            <v>0</v>
          </cell>
        </row>
        <row r="302">
          <cell r="B302">
            <v>746</v>
          </cell>
          <cell r="C302" t="str">
            <v>وعاء ميكرويف 32 اونز</v>
          </cell>
          <cell r="D302" t="str">
            <v>تعبئة و تغليف (باك ستريت)</v>
          </cell>
          <cell r="E302" t="str">
            <v>حبة</v>
          </cell>
          <cell r="F302" t="str">
            <v>الظاهرى</v>
          </cell>
          <cell r="G302">
            <v>0</v>
          </cell>
        </row>
        <row r="303">
          <cell r="B303">
            <v>763</v>
          </cell>
          <cell r="C303" t="str">
            <v xml:space="preserve">علب ھوت باك حلا ١٦ اونز </v>
          </cell>
          <cell r="D303" t="str">
            <v>تعبئة و تغليف (باك ستريت)</v>
          </cell>
          <cell r="E303" t="str">
            <v>حبة</v>
          </cell>
          <cell r="F303" t="str">
            <v>هوت باك</v>
          </cell>
          <cell r="G303">
            <v>0</v>
          </cell>
        </row>
        <row r="304">
          <cell r="B304">
            <v>740</v>
          </cell>
          <cell r="C304" t="str">
            <v xml:space="preserve">صحن ورقي بني </v>
          </cell>
          <cell r="D304" t="str">
            <v>تعبئة و تغليف (باك ستريت)</v>
          </cell>
          <cell r="E304" t="str">
            <v>حبة</v>
          </cell>
          <cell r="F304" t="str">
            <v>مشتريات مباشرة</v>
          </cell>
          <cell r="G304">
            <v>0</v>
          </cell>
        </row>
        <row r="305">
          <cell r="B305">
            <v>188</v>
          </cell>
          <cell r="C305" t="str">
            <v>ورق زبدة - باك ستريت</v>
          </cell>
          <cell r="D305" t="str">
            <v>تعبئة و تغليف (باك ستريت)</v>
          </cell>
          <cell r="E305" t="str">
            <v>حبة</v>
          </cell>
          <cell r="F305" t="str">
            <v>المركز السعودى للطباعة</v>
          </cell>
          <cell r="G305">
            <v>0</v>
          </cell>
        </row>
        <row r="306">
          <cell r="B306">
            <v>507</v>
          </cell>
          <cell r="C306" t="str">
            <v xml:space="preserve">مندیل مائدة مطبوعة </v>
          </cell>
          <cell r="D306" t="str">
            <v>تعبئة و تغليف (باك ستريت)</v>
          </cell>
          <cell r="E306" t="str">
            <v>حبة</v>
          </cell>
          <cell r="F306" t="str">
            <v>الظاهرى</v>
          </cell>
          <cell r="G306">
            <v>0</v>
          </cell>
        </row>
        <row r="307">
          <cell r="B307">
            <v>494</v>
          </cell>
          <cell r="C307" t="str">
            <v xml:space="preserve">مندیل معطرة مطبوعة </v>
          </cell>
          <cell r="D307" t="str">
            <v>تعبئة و تغليف (باك ستريت)</v>
          </cell>
          <cell r="E307" t="str">
            <v>حبه</v>
          </cell>
          <cell r="F307" t="str">
            <v>فيرم</v>
          </cell>
          <cell r="G307">
            <v>0</v>
          </cell>
        </row>
        <row r="308">
          <cell r="B308">
            <v>681</v>
          </cell>
          <cell r="C308" t="str">
            <v>شبكة شعر ذهبية</v>
          </cell>
          <cell r="D308" t="str">
            <v>تعبئة و تغليف (باك ستريت)</v>
          </cell>
          <cell r="E308" t="str">
            <v>حبة</v>
          </cell>
          <cell r="F308" t="str">
            <v>مشتريات مباشرة</v>
          </cell>
          <cell r="G308">
            <v>0</v>
          </cell>
        </row>
        <row r="309">
          <cell r="B309">
            <v>689</v>
          </cell>
          <cell r="C309" t="str">
            <v xml:space="preserve">منكش برجر ھوت باك صغیر </v>
          </cell>
          <cell r="D309" t="str">
            <v>تعبئة و تغليف (باك ستريت)</v>
          </cell>
          <cell r="E309" t="str">
            <v>حبة</v>
          </cell>
          <cell r="F309" t="str">
            <v>هوت باك</v>
          </cell>
          <cell r="G309">
            <v>0</v>
          </cell>
        </row>
        <row r="310">
          <cell r="B310">
            <v>44</v>
          </cell>
          <cell r="C310" t="str">
            <v>رول تاريخ صلاحية</v>
          </cell>
          <cell r="D310" t="str">
            <v>أدوات مكتبية</v>
          </cell>
          <cell r="E310" t="str">
            <v>بكت</v>
          </cell>
          <cell r="F310" t="str">
            <v>الظاهرى</v>
          </cell>
          <cell r="G310">
            <v>0</v>
          </cell>
        </row>
        <row r="311">
          <cell r="B311">
            <v>74</v>
          </cell>
          <cell r="C311" t="str">
            <v>رول كاشير</v>
          </cell>
          <cell r="D311" t="str">
            <v>أدوات مكتبية</v>
          </cell>
          <cell r="E311" t="str">
            <v>حبة</v>
          </cell>
          <cell r="F311" t="str">
            <v>الظاهرى</v>
          </cell>
          <cell r="G311">
            <v>0</v>
          </cell>
        </row>
        <row r="312">
          <cell r="B312">
            <v>119</v>
          </cell>
          <cell r="C312" t="str">
            <v>رول شبكة</v>
          </cell>
          <cell r="D312" t="str">
            <v>أدوات مكتبية</v>
          </cell>
          <cell r="E312" t="str">
            <v>حبة</v>
          </cell>
          <cell r="F312" t="str">
            <v>الظاهرى</v>
          </cell>
          <cell r="G312">
            <v>0</v>
          </cell>
        </row>
        <row r="313">
          <cell r="B313">
            <v>173</v>
          </cell>
          <cell r="C313" t="str">
            <v>سند قبض - طحينة</v>
          </cell>
          <cell r="D313" t="str">
            <v>مطبوعات (طحينة)</v>
          </cell>
          <cell r="E313" t="str">
            <v>حبة</v>
          </cell>
          <cell r="F313">
            <v>0</v>
          </cell>
          <cell r="G313">
            <v>10.5</v>
          </cell>
        </row>
        <row r="314">
          <cell r="B314">
            <v>174</v>
          </cell>
          <cell r="C314" t="str">
            <v>سند صرف - طحينة</v>
          </cell>
          <cell r="D314" t="str">
            <v>مطبوعات (طحينة)</v>
          </cell>
          <cell r="E314" t="str">
            <v>حبة</v>
          </cell>
          <cell r="F314">
            <v>0</v>
          </cell>
          <cell r="G314">
            <v>10.5</v>
          </cell>
        </row>
        <row r="315">
          <cell r="B315">
            <v>190</v>
          </cell>
          <cell r="C315" t="str">
            <v>فواحة</v>
          </cell>
          <cell r="D315" t="str">
            <v>مطبوعات (طحينة)</v>
          </cell>
          <cell r="E315" t="str">
            <v>حبة</v>
          </cell>
          <cell r="F315">
            <v>0</v>
          </cell>
          <cell r="G315">
            <v>0</v>
          </cell>
        </row>
        <row r="316">
          <cell r="B316">
            <v>449</v>
          </cell>
          <cell r="C316" t="str">
            <v>فواتير صرف مطبوع - طحينة</v>
          </cell>
          <cell r="D316" t="str">
            <v>مطبوعات (طحينة)</v>
          </cell>
          <cell r="E316" t="str">
            <v>حبة</v>
          </cell>
          <cell r="F316">
            <v>0</v>
          </cell>
          <cell r="G316">
            <v>7</v>
          </cell>
        </row>
        <row r="317">
          <cell r="B317">
            <v>529</v>
          </cell>
          <cell r="C317" t="str">
            <v>ورق بطاطس مطبوع - طحينة</v>
          </cell>
          <cell r="D317" t="str">
            <v>مطبوعات (طحينة)</v>
          </cell>
          <cell r="E317" t="str">
            <v>حبة</v>
          </cell>
          <cell r="F317">
            <v>0</v>
          </cell>
          <cell r="G317">
            <v>0</v>
          </cell>
        </row>
        <row r="318">
          <cell r="B318">
            <v>619</v>
          </cell>
          <cell r="C318" t="str">
            <v>ملصقات طحينة</v>
          </cell>
          <cell r="D318" t="str">
            <v>مطبوعات (طحينة)</v>
          </cell>
          <cell r="E318" t="str">
            <v>حبة</v>
          </cell>
          <cell r="F318">
            <v>0</v>
          </cell>
          <cell r="G318">
            <v>3.4499999999999996E-2</v>
          </cell>
        </row>
        <row r="319">
          <cell r="B319">
            <v>22</v>
          </cell>
          <cell r="C319" t="str">
            <v>بوكسات مطبوعة</v>
          </cell>
          <cell r="D319" t="str">
            <v>مطبوعات (طحينة)</v>
          </cell>
          <cell r="E319" t="str">
            <v>حبة</v>
          </cell>
          <cell r="F319" t="str">
            <v>لامينا</v>
          </cell>
          <cell r="G319">
            <v>0.4</v>
          </cell>
        </row>
        <row r="320">
          <cell r="B320">
            <v>27</v>
          </cell>
          <cell r="C320" t="str">
            <v>أكياس كولا بلاستيك</v>
          </cell>
          <cell r="D320" t="str">
            <v>مطبوعات (طحينة)</v>
          </cell>
          <cell r="E320" t="str">
            <v>كيلو</v>
          </cell>
          <cell r="F320" t="str">
            <v>مصنع عبدالله الزهراني</v>
          </cell>
          <cell r="G320">
            <v>7.5094999999999992</v>
          </cell>
        </row>
        <row r="321">
          <cell r="B321">
            <v>179</v>
          </cell>
          <cell r="C321" t="str">
            <v>شنطة بلاستيك مطبوع</v>
          </cell>
          <cell r="D321" t="str">
            <v>مطبوعات (طحينة)</v>
          </cell>
          <cell r="E321" t="str">
            <v>كيلو</v>
          </cell>
          <cell r="F321" t="str">
            <v>مصنع عبدالله الزهراني</v>
          </cell>
          <cell r="G321">
            <v>7.51</v>
          </cell>
        </row>
        <row r="322">
          <cell r="B322">
            <v>153</v>
          </cell>
          <cell r="C322" t="str">
            <v>مناديل سفرة مطبوع</v>
          </cell>
          <cell r="D322" t="str">
            <v>مطبوعات (طحينة)</v>
          </cell>
          <cell r="E322" t="str">
            <v>حبة</v>
          </cell>
          <cell r="F322" t="str">
            <v>الظاهرى</v>
          </cell>
          <cell r="G322">
            <v>1.6962499999999998E-2</v>
          </cell>
        </row>
        <row r="323">
          <cell r="B323">
            <v>21</v>
          </cell>
          <cell r="C323" t="str">
            <v>ظرف سندوتش صغير</v>
          </cell>
          <cell r="D323" t="str">
            <v>مطبوعات (طحينة)</v>
          </cell>
          <cell r="E323" t="str">
            <v>حبة</v>
          </cell>
          <cell r="F323" t="str">
            <v>المركز السعودى للطباعة</v>
          </cell>
          <cell r="G323">
            <v>0.13799999999999998</v>
          </cell>
        </row>
        <row r="324">
          <cell r="B324">
            <v>112</v>
          </cell>
          <cell r="C324" t="str">
            <v>ورق سندوتش مطبوع</v>
          </cell>
          <cell r="D324" t="str">
            <v>مطبوعات (طحينة)</v>
          </cell>
          <cell r="E324" t="str">
            <v>حبة</v>
          </cell>
          <cell r="F324" t="str">
            <v>المركز السعودى للطباعة</v>
          </cell>
          <cell r="G324">
            <v>8.0500000000000016E-2</v>
          </cell>
        </row>
        <row r="325">
          <cell r="B325">
            <v>627</v>
          </cell>
          <cell r="C325" t="str">
            <v>ورق زبدة للبوكسات</v>
          </cell>
          <cell r="D325" t="str">
            <v>مطبوعات (طحينة)</v>
          </cell>
          <cell r="E325" t="str">
            <v>حبة</v>
          </cell>
          <cell r="F325" t="str">
            <v>المركز السعودى للطباعة</v>
          </cell>
          <cell r="G325">
            <v>0.06</v>
          </cell>
        </row>
        <row r="326">
          <cell r="B326">
            <v>15</v>
          </cell>
          <cell r="C326" t="str">
            <v>مناديل معطرة مطبوع - طحينة</v>
          </cell>
          <cell r="D326" t="str">
            <v>مطبوعات (طحينة)</v>
          </cell>
          <cell r="E326" t="str">
            <v>حبة</v>
          </cell>
          <cell r="F326" t="str">
            <v>فيرم</v>
          </cell>
          <cell r="G326">
            <v>0.11</v>
          </cell>
        </row>
        <row r="327">
          <cell r="B327">
            <v>186</v>
          </cell>
          <cell r="C327" t="str">
            <v>دفتر جرد للفروع</v>
          </cell>
          <cell r="D327" t="str">
            <v>مطبوعات (طحينة)</v>
          </cell>
          <cell r="E327" t="str">
            <v>حبة</v>
          </cell>
          <cell r="F327">
            <v>0</v>
          </cell>
          <cell r="G327">
            <v>15.481</v>
          </cell>
        </row>
        <row r="328">
          <cell r="B328">
            <v>151</v>
          </cell>
          <cell r="C328" t="str">
            <v>دفتر تقرير نقدية</v>
          </cell>
          <cell r="D328" t="str">
            <v>مطبوعات (طحينة)</v>
          </cell>
          <cell r="E328" t="str">
            <v>حبة</v>
          </cell>
          <cell r="F328">
            <v>0</v>
          </cell>
          <cell r="G328">
            <v>16.585999999999999</v>
          </cell>
        </row>
        <row r="329">
          <cell r="B329">
            <v>141</v>
          </cell>
          <cell r="C329" t="str">
            <v>دفتر أذن - طحينة</v>
          </cell>
          <cell r="D329" t="str">
            <v>مطبوعات (طحينة)</v>
          </cell>
          <cell r="E329" t="str">
            <v>حبة</v>
          </cell>
          <cell r="F329">
            <v>0</v>
          </cell>
          <cell r="G329">
            <v>6.6</v>
          </cell>
        </row>
        <row r="330">
          <cell r="B330">
            <v>142</v>
          </cell>
          <cell r="C330" t="str">
            <v>دفتر مصنعات</v>
          </cell>
          <cell r="D330" t="str">
            <v>مطبوعات (طحينة)</v>
          </cell>
          <cell r="E330" t="str">
            <v>حبة</v>
          </cell>
          <cell r="F330">
            <v>0</v>
          </cell>
          <cell r="G330">
            <v>6.6</v>
          </cell>
        </row>
        <row r="331">
          <cell r="B331">
            <v>76</v>
          </cell>
          <cell r="C331" t="str">
            <v>استكر تاريخ صلاحية أبيض</v>
          </cell>
          <cell r="D331" t="str">
            <v>مطبوعات (طحينة)</v>
          </cell>
          <cell r="E331" t="str">
            <v>حبة</v>
          </cell>
          <cell r="F331">
            <v>0</v>
          </cell>
          <cell r="G331">
            <v>0.28559999999999997</v>
          </cell>
        </row>
        <row r="332">
          <cell r="B332">
            <v>162</v>
          </cell>
          <cell r="C332" t="str">
            <v>استكر تاريخ صلاحية أحمر</v>
          </cell>
          <cell r="D332" t="str">
            <v>مطبوعات (طحينة)</v>
          </cell>
          <cell r="E332" t="str">
            <v>حبة</v>
          </cell>
          <cell r="F332">
            <v>0</v>
          </cell>
          <cell r="G332">
            <v>7.0000000000000007E-2</v>
          </cell>
        </row>
        <row r="333">
          <cell r="B333">
            <v>113</v>
          </cell>
          <cell r="C333" t="str">
            <v>سفرة الجريدة</v>
          </cell>
          <cell r="D333" t="str">
            <v>مطبوعات (طحينة)</v>
          </cell>
          <cell r="E333" t="str">
            <v>حبة</v>
          </cell>
          <cell r="F333" t="str">
            <v>المركز السعودى للطباعة</v>
          </cell>
          <cell r="G333">
            <v>6.9000000000000006E-2</v>
          </cell>
        </row>
        <row r="334">
          <cell r="B334">
            <v>498</v>
          </cell>
          <cell r="C334" t="str">
            <v>ملصقات أرز بلبن</v>
          </cell>
          <cell r="D334" t="str">
            <v>مطبوعات (طحينة)</v>
          </cell>
          <cell r="E334" t="str">
            <v>حبة</v>
          </cell>
          <cell r="F334">
            <v>0</v>
          </cell>
          <cell r="G334">
            <v>0.14000000000000001</v>
          </cell>
        </row>
        <row r="335">
          <cell r="B335">
            <v>610</v>
          </cell>
          <cell r="C335" t="str">
            <v>بوكسات مطبوعة كبير 60 سم</v>
          </cell>
          <cell r="D335" t="str">
            <v>مطبوعات (طحينة)</v>
          </cell>
          <cell r="E335" t="str">
            <v>حبة</v>
          </cell>
          <cell r="F335" t="str">
            <v>لامينا</v>
          </cell>
          <cell r="G335">
            <v>1.2649999999999999</v>
          </cell>
        </row>
        <row r="336">
          <cell r="B336">
            <v>611</v>
          </cell>
          <cell r="C336" t="str">
            <v>حامل قسام - فتحتين</v>
          </cell>
          <cell r="D336" t="str">
            <v>مطبوعات (طحينة)</v>
          </cell>
          <cell r="E336" t="str">
            <v>حبة</v>
          </cell>
          <cell r="F336" t="str">
            <v>المركز السعودى للطباعة</v>
          </cell>
          <cell r="G336">
            <v>9.1999999999999998E-2</v>
          </cell>
        </row>
        <row r="337">
          <cell r="B337">
            <v>612</v>
          </cell>
          <cell r="C337" t="str">
            <v>بوكسات مطبوعة صغير 30 سم</v>
          </cell>
          <cell r="D337" t="str">
            <v>مطبوعات (طحينة)</v>
          </cell>
          <cell r="E337" t="str">
            <v>حبة</v>
          </cell>
          <cell r="F337" t="str">
            <v>لامينا</v>
          </cell>
          <cell r="G337">
            <v>0.59799999999999998</v>
          </cell>
        </row>
        <row r="338">
          <cell r="B338">
            <v>613</v>
          </cell>
          <cell r="C338" t="str">
            <v>بوكسات مطبوعة مربعة حواوشي</v>
          </cell>
          <cell r="D338" t="str">
            <v>مطبوعات (طحينة)</v>
          </cell>
          <cell r="E338" t="str">
            <v>حبة</v>
          </cell>
          <cell r="F338" t="str">
            <v>لامينا</v>
          </cell>
          <cell r="G338">
            <v>0.36799999999999999</v>
          </cell>
        </row>
        <row r="339">
          <cell r="B339">
            <v>614</v>
          </cell>
          <cell r="C339" t="str">
            <v>علب باستا مطبوعة</v>
          </cell>
          <cell r="D339" t="str">
            <v>مطبوعات (طحينة)</v>
          </cell>
          <cell r="E339" t="str">
            <v>حبة</v>
          </cell>
          <cell r="F339">
            <v>0</v>
          </cell>
          <cell r="G339">
            <v>0.92</v>
          </cell>
        </row>
        <row r="340">
          <cell r="B340">
            <v>634</v>
          </cell>
          <cell r="C340" t="str">
            <v>كفرات طعام 3*1 باك ستريت</v>
          </cell>
          <cell r="D340" t="str">
            <v>مطبوعات (باك ستريت)</v>
          </cell>
          <cell r="E340" t="str">
            <v>حبة</v>
          </cell>
          <cell r="F340" t="str">
            <v>الظاهرى</v>
          </cell>
          <cell r="G340">
            <v>0</v>
          </cell>
        </row>
        <row r="341">
          <cell r="B341">
            <v>584</v>
          </cell>
          <cell r="C341" t="str">
            <v>أكیاس بيبسي بلاستیك باك ستريت</v>
          </cell>
          <cell r="D341" t="str">
            <v>مطبوعات (باك ستريت)</v>
          </cell>
          <cell r="E341" t="str">
            <v>كيلو</v>
          </cell>
          <cell r="F341" t="str">
            <v>الظاهرى</v>
          </cell>
          <cell r="G341">
            <v>0</v>
          </cell>
        </row>
        <row r="342">
          <cell r="B342">
            <v>633</v>
          </cell>
          <cell r="C342" t="str">
            <v xml:space="preserve">أكیاس ورقي كبیر مطبوعة </v>
          </cell>
          <cell r="D342" t="str">
            <v>مطبوعات (باك ستريت)</v>
          </cell>
          <cell r="E342" t="str">
            <v>حبة</v>
          </cell>
          <cell r="F342" t="str">
            <v>مشتريات مباشرة</v>
          </cell>
          <cell r="G342">
            <v>0.89699999999999991</v>
          </cell>
        </row>
        <row r="343">
          <cell r="B343">
            <v>813</v>
          </cell>
          <cell r="C343" t="str">
            <v xml:space="preserve">استیكر منتج </v>
          </cell>
          <cell r="D343" t="str">
            <v>مطبوعات (باك ستريت)</v>
          </cell>
          <cell r="E343" t="str">
            <v>حبة</v>
          </cell>
          <cell r="F343" t="str">
            <v>المركز السعودى للطباعة</v>
          </cell>
          <cell r="G343">
            <v>0</v>
          </cell>
        </row>
        <row r="344">
          <cell r="B344">
            <v>814</v>
          </cell>
          <cell r="C344" t="str">
            <v xml:space="preserve">استیكر تغلیف حلا </v>
          </cell>
          <cell r="D344" t="str">
            <v>مطبوعات (باك ستريت)</v>
          </cell>
          <cell r="E344" t="str">
            <v>حبة</v>
          </cell>
          <cell r="F344" t="str">
            <v>المركز السعودى للطباعة</v>
          </cell>
          <cell r="G344">
            <v>0</v>
          </cell>
        </row>
        <row r="345">
          <cell r="B345">
            <v>598</v>
          </cell>
          <cell r="C345" t="str">
            <v>بوكسات مطبوعة باك ستريت</v>
          </cell>
          <cell r="D345" t="str">
            <v>مطبوعات (باك ستريت)</v>
          </cell>
          <cell r="E345" t="str">
            <v>حبة</v>
          </cell>
          <cell r="F345" t="str">
            <v>لامينا</v>
          </cell>
          <cell r="G345">
            <v>0</v>
          </cell>
        </row>
        <row r="346">
          <cell r="B346">
            <v>635</v>
          </cell>
          <cell r="C346" t="str">
            <v>كفرات طعام 4*1 باك ستريت</v>
          </cell>
          <cell r="D346" t="str">
            <v>مطبوعات (باك ستريت)</v>
          </cell>
          <cell r="E346" t="str">
            <v>حبة</v>
          </cell>
          <cell r="F346" t="str">
            <v>الظاهرى</v>
          </cell>
          <cell r="G346">
            <v>0</v>
          </cell>
        </row>
        <row r="347">
          <cell r="B347">
            <v>198</v>
          </cell>
          <cell r="C347" t="str">
            <v>كابتن أوردر - المشربية</v>
          </cell>
          <cell r="D347" t="str">
            <v>مطبوعات (المشربية)</v>
          </cell>
          <cell r="E347" t="str">
            <v>حبة</v>
          </cell>
          <cell r="F347">
            <v>0</v>
          </cell>
          <cell r="G347">
            <v>0</v>
          </cell>
        </row>
        <row r="348">
          <cell r="B348">
            <v>199</v>
          </cell>
          <cell r="C348" t="str">
            <v>نوتات - المشربية</v>
          </cell>
          <cell r="D348" t="str">
            <v>مطبوعات (المشربية)</v>
          </cell>
          <cell r="E348" t="str">
            <v>حبة</v>
          </cell>
          <cell r="F348">
            <v>0</v>
          </cell>
          <cell r="G348">
            <v>0</v>
          </cell>
        </row>
        <row r="349">
          <cell r="B349">
            <v>265</v>
          </cell>
          <cell r="C349" t="str">
            <v>كوتشينا - المشربية</v>
          </cell>
          <cell r="D349" t="str">
            <v>مطبوعات (المشربية)</v>
          </cell>
          <cell r="E349" t="str">
            <v>حبة</v>
          </cell>
          <cell r="F349">
            <v>0</v>
          </cell>
          <cell r="G349">
            <v>0</v>
          </cell>
        </row>
        <row r="350">
          <cell r="B350">
            <v>291</v>
          </cell>
          <cell r="C350" t="str">
            <v>قلم مطبوع - المشربية</v>
          </cell>
          <cell r="D350" t="str">
            <v>مطبوعات (المشربية)</v>
          </cell>
          <cell r="E350" t="str">
            <v>حبة</v>
          </cell>
          <cell r="F350">
            <v>0</v>
          </cell>
          <cell r="G350">
            <v>0</v>
          </cell>
        </row>
        <row r="351">
          <cell r="B351">
            <v>320</v>
          </cell>
          <cell r="C351" t="str">
            <v>ملصق تاريخ صلاحية - المشربية</v>
          </cell>
          <cell r="D351" t="str">
            <v>مطبوعات (المشربية)</v>
          </cell>
          <cell r="E351" t="str">
            <v>حبة</v>
          </cell>
          <cell r="F351">
            <v>0</v>
          </cell>
          <cell r="G351">
            <v>0</v>
          </cell>
        </row>
        <row r="352">
          <cell r="B352">
            <v>321</v>
          </cell>
          <cell r="C352" t="str">
            <v>دفتر نقدية - المشربية</v>
          </cell>
          <cell r="D352" t="str">
            <v>مطبوعات (المشربية)</v>
          </cell>
          <cell r="E352" t="str">
            <v>حبة</v>
          </cell>
          <cell r="F352">
            <v>0</v>
          </cell>
          <cell r="G352">
            <v>0</v>
          </cell>
        </row>
        <row r="353">
          <cell r="B353">
            <v>322</v>
          </cell>
          <cell r="C353" t="str">
            <v>دفتر عهده - المشربية</v>
          </cell>
          <cell r="D353" t="str">
            <v>مطبوعات (المشربية)</v>
          </cell>
          <cell r="E353" t="str">
            <v>حبة</v>
          </cell>
          <cell r="F353">
            <v>0</v>
          </cell>
          <cell r="G353">
            <v>0</v>
          </cell>
        </row>
        <row r="354">
          <cell r="B354">
            <v>330</v>
          </cell>
          <cell r="C354" t="str">
            <v>مناديل سفرة مطبوع - المشربية</v>
          </cell>
          <cell r="D354" t="str">
            <v>مطبوعات (المشربية)</v>
          </cell>
          <cell r="E354" t="str">
            <v>حبة</v>
          </cell>
          <cell r="F354" t="str">
            <v>شركة نابكو الوطنية</v>
          </cell>
          <cell r="G354">
            <v>0</v>
          </cell>
        </row>
        <row r="355">
          <cell r="B355">
            <v>433</v>
          </cell>
          <cell r="C355" t="str">
            <v>ورق زبدة مطبوع - المشربية</v>
          </cell>
          <cell r="D355" t="str">
            <v>مطبوعات (المشربية)</v>
          </cell>
          <cell r="E355" t="str">
            <v>حبة</v>
          </cell>
          <cell r="F355">
            <v>0</v>
          </cell>
          <cell r="G355">
            <v>0</v>
          </cell>
        </row>
        <row r="356">
          <cell r="B356">
            <v>434</v>
          </cell>
          <cell r="C356" t="str">
            <v>ملصقات أكواب - المشربية</v>
          </cell>
          <cell r="D356" t="str">
            <v>مطبوعات (المشربية)</v>
          </cell>
          <cell r="E356" t="str">
            <v>حبة</v>
          </cell>
          <cell r="F356">
            <v>0</v>
          </cell>
          <cell r="G356">
            <v>0</v>
          </cell>
        </row>
        <row r="357">
          <cell r="B357">
            <v>439</v>
          </cell>
          <cell r="C357" t="str">
            <v>كابتن أرودر أم كلثوم - المشربية</v>
          </cell>
          <cell r="D357" t="str">
            <v>مطبوعات (المشربية)</v>
          </cell>
          <cell r="E357" t="str">
            <v>حبة</v>
          </cell>
          <cell r="F357">
            <v>0</v>
          </cell>
          <cell r="G357">
            <v>0</v>
          </cell>
        </row>
        <row r="358">
          <cell r="B358">
            <v>440</v>
          </cell>
          <cell r="C358" t="str">
            <v>أكواب شاي مطبوع - المشربية</v>
          </cell>
          <cell r="D358" t="str">
            <v>مطبوعات (المشربية)</v>
          </cell>
          <cell r="E358" t="str">
            <v>حبة</v>
          </cell>
          <cell r="F358">
            <v>0</v>
          </cell>
          <cell r="G358">
            <v>0</v>
          </cell>
        </row>
        <row r="359">
          <cell r="B359">
            <v>441</v>
          </cell>
          <cell r="C359" t="str">
            <v>أكواب قهوة مطبوع - المشربية</v>
          </cell>
          <cell r="D359" t="str">
            <v>مطبوعات (المشربية)</v>
          </cell>
          <cell r="E359" t="str">
            <v>حبة</v>
          </cell>
          <cell r="F359">
            <v>0</v>
          </cell>
          <cell r="G359">
            <v>0</v>
          </cell>
        </row>
        <row r="360">
          <cell r="B360">
            <v>445</v>
          </cell>
          <cell r="C360" t="str">
            <v>مناديل معطرة مطبوع - المشربية</v>
          </cell>
          <cell r="D360" t="str">
            <v>مطبوعات (المشربية)</v>
          </cell>
          <cell r="E360" t="str">
            <v>كرتونة</v>
          </cell>
          <cell r="F360" t="str">
            <v>شركة نابكو الوطنية</v>
          </cell>
          <cell r="G360">
            <v>0</v>
          </cell>
        </row>
        <row r="361">
          <cell r="B361">
            <v>446</v>
          </cell>
          <cell r="C361" t="str">
            <v>كابتن أوردر عبدالحليم - المشربية</v>
          </cell>
          <cell r="D361" t="str">
            <v>مطبوعات (المشربية)</v>
          </cell>
          <cell r="E361" t="str">
            <v>حبة</v>
          </cell>
          <cell r="F361">
            <v>0</v>
          </cell>
          <cell r="G361">
            <v>0</v>
          </cell>
        </row>
        <row r="362">
          <cell r="B362">
            <v>447</v>
          </cell>
          <cell r="C362" t="str">
            <v>كابتن أوردر الفرندة - المشربية</v>
          </cell>
          <cell r="D362" t="str">
            <v>مطبوعات (المشربية)</v>
          </cell>
          <cell r="E362" t="str">
            <v>حبة</v>
          </cell>
          <cell r="F362">
            <v>0</v>
          </cell>
          <cell r="G362">
            <v>0</v>
          </cell>
        </row>
        <row r="363">
          <cell r="B363">
            <v>448</v>
          </cell>
          <cell r="C363" t="str">
            <v>فواتير صرف مطبوع - المشربية</v>
          </cell>
          <cell r="D363" t="str">
            <v>مطبوعات (المشربية)</v>
          </cell>
          <cell r="E363" t="str">
            <v>كرتون</v>
          </cell>
          <cell r="F363">
            <v>0</v>
          </cell>
          <cell r="G363">
            <v>0</v>
          </cell>
        </row>
        <row r="364">
          <cell r="B364">
            <v>493</v>
          </cell>
          <cell r="C364" t="str">
            <v>دفتر أذن - المشربية</v>
          </cell>
          <cell r="D364" t="str">
            <v>مطبوعات (المشربية)</v>
          </cell>
          <cell r="E364" t="str">
            <v>حبة</v>
          </cell>
          <cell r="F364">
            <v>0</v>
          </cell>
          <cell r="G364">
            <v>0</v>
          </cell>
        </row>
        <row r="365">
          <cell r="B365">
            <v>503</v>
          </cell>
          <cell r="C365" t="str">
            <v>سند قبض - المشربية</v>
          </cell>
          <cell r="D365" t="str">
            <v>مطبوعات (المشربية)</v>
          </cell>
          <cell r="E365" t="str">
            <v>حبة</v>
          </cell>
          <cell r="F365">
            <v>0</v>
          </cell>
          <cell r="G365">
            <v>0</v>
          </cell>
        </row>
        <row r="366">
          <cell r="B366">
            <v>504</v>
          </cell>
          <cell r="C366" t="str">
            <v>سند صرف - المشربية</v>
          </cell>
          <cell r="D366" t="str">
            <v>مطبوعات (المشربية)</v>
          </cell>
          <cell r="E366" t="str">
            <v>حبة</v>
          </cell>
          <cell r="F366">
            <v>0</v>
          </cell>
          <cell r="G366">
            <v>0</v>
          </cell>
        </row>
        <row r="367">
          <cell r="B367">
            <v>846</v>
          </cell>
          <cell r="C367" t="str">
            <v>استيكر عصير</v>
          </cell>
          <cell r="D367" t="str">
            <v>مطبوعات (المشربية)</v>
          </cell>
          <cell r="E367" t="str">
            <v>حبة</v>
          </cell>
          <cell r="F367">
            <v>0</v>
          </cell>
          <cell r="G367">
            <v>0</v>
          </cell>
        </row>
        <row r="368">
          <cell r="B368">
            <v>845</v>
          </cell>
          <cell r="C368" t="str">
            <v>كروت كبون</v>
          </cell>
          <cell r="D368" t="str">
            <v>مطبوعات (المشربية)</v>
          </cell>
          <cell r="E368" t="str">
            <v>حبة</v>
          </cell>
          <cell r="F368">
            <v>0</v>
          </cell>
          <cell r="G368">
            <v>0</v>
          </cell>
        </row>
        <row r="369">
          <cell r="B369">
            <v>20</v>
          </cell>
          <cell r="C369" t="str">
            <v>نفايات 55 نابكو</v>
          </cell>
          <cell r="D369" t="str">
            <v>منظفات</v>
          </cell>
          <cell r="E369" t="str">
            <v>كيلو</v>
          </cell>
          <cell r="F369" t="str">
            <v>واد العطاء</v>
          </cell>
          <cell r="G369">
            <v>4.678735616438356</v>
          </cell>
        </row>
        <row r="370">
          <cell r="B370">
            <v>29</v>
          </cell>
          <cell r="C370" t="str">
            <v>ماكسي رول</v>
          </cell>
          <cell r="D370" t="str">
            <v>منظفات</v>
          </cell>
          <cell r="E370" t="str">
            <v>رول</v>
          </cell>
          <cell r="F370" t="str">
            <v>واد العطاء</v>
          </cell>
          <cell r="G370">
            <v>5.7757593065945327</v>
          </cell>
        </row>
        <row r="371">
          <cell r="B371">
            <v>30</v>
          </cell>
          <cell r="C371" t="str">
            <v>مناديل أوتوكت</v>
          </cell>
          <cell r="D371" t="str">
            <v>منظفات</v>
          </cell>
          <cell r="E371" t="str">
            <v>رول</v>
          </cell>
          <cell r="F371" t="str">
            <v>شركة نابكو الوطنية</v>
          </cell>
          <cell r="G371">
            <v>9.2000000000000011</v>
          </cell>
        </row>
        <row r="372">
          <cell r="B372">
            <v>33</v>
          </cell>
          <cell r="C372" t="str">
            <v>صابون رغوة جالون</v>
          </cell>
          <cell r="D372" t="str">
            <v>منظفات</v>
          </cell>
          <cell r="E372" t="str">
            <v>لتر</v>
          </cell>
          <cell r="F372" t="str">
            <v>شركة نابكو الوطنية</v>
          </cell>
          <cell r="G372">
            <v>6.3250000000000002</v>
          </cell>
        </row>
        <row r="373">
          <cell r="B373">
            <v>35</v>
          </cell>
          <cell r="C373" t="str">
            <v xml:space="preserve">معقم أسطح </v>
          </cell>
          <cell r="D373" t="str">
            <v>منظفات</v>
          </cell>
          <cell r="E373" t="str">
            <v>لتر</v>
          </cell>
          <cell r="F373">
            <v>0</v>
          </cell>
          <cell r="G373">
            <v>0</v>
          </cell>
        </row>
        <row r="374">
          <cell r="B374">
            <v>36</v>
          </cell>
          <cell r="C374" t="str">
            <v>منظف زجاج  جالون</v>
          </cell>
          <cell r="D374" t="str">
            <v>منظفات</v>
          </cell>
          <cell r="E374" t="str">
            <v>لتر</v>
          </cell>
          <cell r="F374" t="str">
            <v>الظاهرى</v>
          </cell>
          <cell r="G374">
            <v>0</v>
          </cell>
        </row>
        <row r="375">
          <cell r="B375">
            <v>37</v>
          </cell>
          <cell r="C375" t="str">
            <v>مزيل دهون  جالون</v>
          </cell>
          <cell r="D375" t="str">
            <v>منظفات</v>
          </cell>
          <cell r="E375" t="str">
            <v>لتر</v>
          </cell>
          <cell r="F375">
            <v>0</v>
          </cell>
          <cell r="G375">
            <v>0</v>
          </cell>
        </row>
        <row r="376">
          <cell r="B376">
            <v>39</v>
          </cell>
          <cell r="C376" t="str">
            <v>منظف أفران  جالون</v>
          </cell>
          <cell r="D376" t="str">
            <v>منظفات</v>
          </cell>
          <cell r="E376" t="str">
            <v>لتر</v>
          </cell>
          <cell r="F376" t="str">
            <v>شركة نابكو الوطنية</v>
          </cell>
          <cell r="G376">
            <v>11.5</v>
          </cell>
        </row>
        <row r="377">
          <cell r="B377">
            <v>41</v>
          </cell>
          <cell r="C377" t="str">
            <v>ملمع استيل جالون</v>
          </cell>
          <cell r="D377" t="str">
            <v>منظفات</v>
          </cell>
          <cell r="E377" t="str">
            <v>لتر</v>
          </cell>
          <cell r="F377">
            <v>0</v>
          </cell>
          <cell r="G377">
            <v>0</v>
          </cell>
        </row>
        <row r="378">
          <cell r="B378">
            <v>42</v>
          </cell>
          <cell r="C378" t="str">
            <v>معقم اليدين جالون</v>
          </cell>
          <cell r="D378" t="str">
            <v>منظفات</v>
          </cell>
          <cell r="E378" t="str">
            <v>لتر</v>
          </cell>
          <cell r="F378">
            <v>0</v>
          </cell>
          <cell r="G378">
            <v>14.95</v>
          </cell>
        </row>
        <row r="379">
          <cell r="B379">
            <v>72</v>
          </cell>
          <cell r="C379" t="str">
            <v>مريلة بلاستيك</v>
          </cell>
          <cell r="D379" t="str">
            <v>منظفات</v>
          </cell>
          <cell r="E379" t="str">
            <v>كيلو</v>
          </cell>
          <cell r="F379" t="str">
            <v>واد العطاء</v>
          </cell>
          <cell r="G379">
            <v>14.375</v>
          </cell>
        </row>
        <row r="380">
          <cell r="B380">
            <v>109</v>
          </cell>
          <cell r="C380" t="str">
            <v>حبيبات كلور</v>
          </cell>
          <cell r="D380" t="str">
            <v>منظفات</v>
          </cell>
          <cell r="E380" t="str">
            <v>حبة</v>
          </cell>
          <cell r="F380" t="str">
            <v>شركة نابكو الوطنية</v>
          </cell>
          <cell r="G380">
            <v>0.51749999999999996</v>
          </cell>
        </row>
        <row r="381">
          <cell r="B381">
            <v>150</v>
          </cell>
          <cell r="C381" t="str">
            <v>منظف أرضيات SH30</v>
          </cell>
          <cell r="D381" t="str">
            <v>منظفات</v>
          </cell>
          <cell r="E381" t="str">
            <v>لتر</v>
          </cell>
          <cell r="F381" t="str">
            <v>شركة نابكو الوطنية</v>
          </cell>
          <cell r="G381">
            <v>0</v>
          </cell>
        </row>
        <row r="382">
          <cell r="B382">
            <v>175</v>
          </cell>
          <cell r="C382" t="str">
            <v>اكياس نفايات 70</v>
          </cell>
          <cell r="D382" t="str">
            <v>منظفات</v>
          </cell>
          <cell r="E382" t="str">
            <v>كيلو</v>
          </cell>
          <cell r="F382" t="str">
            <v>واد العطاء</v>
          </cell>
          <cell r="G382">
            <v>4.9087321944444451</v>
          </cell>
        </row>
        <row r="383">
          <cell r="B383">
            <v>32</v>
          </cell>
          <cell r="C383" t="str">
            <v>نفايات 30 جالون</v>
          </cell>
          <cell r="D383" t="str">
            <v>منظفات</v>
          </cell>
          <cell r="E383" t="str">
            <v>كيلو</v>
          </cell>
          <cell r="F383" t="str">
            <v>واد العطاء</v>
          </cell>
          <cell r="G383">
            <v>5.0069322916666676</v>
          </cell>
        </row>
        <row r="384">
          <cell r="B384">
            <v>47</v>
          </cell>
          <cell r="C384" t="str">
            <v>ليفة سلك استيل</v>
          </cell>
          <cell r="D384" t="str">
            <v>منظفات</v>
          </cell>
          <cell r="E384" t="str">
            <v>حبة</v>
          </cell>
          <cell r="F384" t="str">
            <v>واد العطاء</v>
          </cell>
          <cell r="G384">
            <v>1.1613039772727272</v>
          </cell>
        </row>
        <row r="385">
          <cell r="B385">
            <v>143</v>
          </cell>
          <cell r="C385" t="str">
            <v>صابون فيري 1 لتر</v>
          </cell>
          <cell r="D385" t="str">
            <v>منظفات</v>
          </cell>
          <cell r="E385" t="str">
            <v>لتر</v>
          </cell>
          <cell r="F385" t="str">
            <v>واد العطاء</v>
          </cell>
          <cell r="G385">
            <v>6.3333237858766216</v>
          </cell>
        </row>
        <row r="386">
          <cell r="B386">
            <v>147</v>
          </cell>
          <cell r="C386" t="str">
            <v>ملمع أثاث 700 مم</v>
          </cell>
          <cell r="D386" t="str">
            <v>منظفات</v>
          </cell>
          <cell r="E386" t="str">
            <v>لتر</v>
          </cell>
          <cell r="F386" t="str">
            <v>الظاهرى</v>
          </cell>
          <cell r="G386">
            <v>14.854435</v>
          </cell>
        </row>
        <row r="387">
          <cell r="B387">
            <v>161</v>
          </cell>
          <cell r="C387" t="str">
            <v>كلوركس 30 لتر</v>
          </cell>
          <cell r="D387" t="str">
            <v>منظفات</v>
          </cell>
          <cell r="E387" t="str">
            <v>لتر</v>
          </cell>
          <cell r="F387" t="str">
            <v>الظاهرى</v>
          </cell>
          <cell r="G387">
            <v>1.3347668409090909</v>
          </cell>
        </row>
        <row r="388">
          <cell r="B388">
            <v>172</v>
          </cell>
          <cell r="C388" t="str">
            <v>نفثالين معطر</v>
          </cell>
          <cell r="D388" t="str">
            <v>منظفات</v>
          </cell>
          <cell r="E388" t="str">
            <v>حبة</v>
          </cell>
          <cell r="F388">
            <v>0</v>
          </cell>
          <cell r="G388">
            <v>3.1164999999999998</v>
          </cell>
        </row>
        <row r="389">
          <cell r="B389">
            <v>185</v>
          </cell>
          <cell r="C389" t="str">
            <v>ديتول</v>
          </cell>
          <cell r="D389" t="str">
            <v>منظفات</v>
          </cell>
          <cell r="E389" t="str">
            <v>لتر</v>
          </cell>
          <cell r="F389">
            <v>0</v>
          </cell>
          <cell r="G389">
            <v>8.2661999999999995</v>
          </cell>
        </row>
        <row r="390">
          <cell r="B390">
            <v>31</v>
          </cell>
          <cell r="C390" t="str">
            <v>كمامات</v>
          </cell>
          <cell r="D390" t="str">
            <v>منظفات</v>
          </cell>
          <cell r="E390" t="str">
            <v>علبة</v>
          </cell>
          <cell r="F390" t="str">
            <v>الصحة الفريدة</v>
          </cell>
          <cell r="G390">
            <v>2.63</v>
          </cell>
        </row>
        <row r="391">
          <cell r="B391">
            <v>70</v>
          </cell>
          <cell r="C391" t="str">
            <v>قفازات شفاف</v>
          </cell>
          <cell r="D391" t="str">
            <v>منظفات</v>
          </cell>
          <cell r="E391" t="str">
            <v>حبة</v>
          </cell>
          <cell r="F391">
            <v>0</v>
          </cell>
          <cell r="G391">
            <v>12.88</v>
          </cell>
        </row>
        <row r="392">
          <cell r="B392">
            <v>128</v>
          </cell>
          <cell r="C392" t="str">
            <v>قفازات لاتكس</v>
          </cell>
          <cell r="D392" t="str">
            <v>منظفات</v>
          </cell>
          <cell r="E392" t="str">
            <v>علبة</v>
          </cell>
          <cell r="F392" t="str">
            <v>الصحة الفريدة</v>
          </cell>
          <cell r="G392">
            <v>11.5</v>
          </cell>
        </row>
        <row r="393">
          <cell r="B393">
            <v>146</v>
          </cell>
          <cell r="C393" t="str">
            <v>معطر ومطهر أرضيات</v>
          </cell>
          <cell r="D393" t="str">
            <v>منظفات</v>
          </cell>
          <cell r="E393" t="str">
            <v>لتر</v>
          </cell>
          <cell r="F393">
            <v>0</v>
          </cell>
          <cell r="G393">
            <v>4.4022345000000005</v>
          </cell>
        </row>
        <row r="394">
          <cell r="B394">
            <v>148</v>
          </cell>
          <cell r="C394" t="str">
            <v>معصم بلاستيك</v>
          </cell>
          <cell r="D394" t="str">
            <v>منظفات</v>
          </cell>
          <cell r="E394" t="str">
            <v>كيلو</v>
          </cell>
          <cell r="F394" t="str">
            <v>الظاهرى</v>
          </cell>
          <cell r="G394">
            <v>24.011178571428569</v>
          </cell>
        </row>
        <row r="395">
          <cell r="B395">
            <v>183</v>
          </cell>
          <cell r="C395" t="str">
            <v>غطاء شوز</v>
          </cell>
          <cell r="D395" t="str">
            <v>منظفات</v>
          </cell>
          <cell r="E395" t="str">
            <v>كيلو</v>
          </cell>
          <cell r="F395" t="str">
            <v>الصحة الفريدة</v>
          </cell>
          <cell r="G395">
            <v>27.499949999999998</v>
          </cell>
        </row>
        <row r="396">
          <cell r="B396">
            <v>472</v>
          </cell>
          <cell r="C396" t="str">
            <v>غطاء رأس</v>
          </cell>
          <cell r="D396" t="str">
            <v>منظفات</v>
          </cell>
          <cell r="E396" t="str">
            <v>كيلو</v>
          </cell>
          <cell r="F396" t="str">
            <v>الظاهرى</v>
          </cell>
          <cell r="G396">
            <v>2.415</v>
          </cell>
        </row>
        <row r="397">
          <cell r="B397">
            <v>16</v>
          </cell>
          <cell r="C397" t="str">
            <v>اسفنج غسيل 20*9</v>
          </cell>
          <cell r="D397" t="str">
            <v>منظفات</v>
          </cell>
          <cell r="E397" t="str">
            <v>حبة</v>
          </cell>
          <cell r="F397" t="str">
            <v>واد العطاء</v>
          </cell>
          <cell r="G397">
            <v>0.62697067894736846</v>
          </cell>
        </row>
        <row r="398">
          <cell r="B398">
            <v>631</v>
          </cell>
          <cell r="C398" t="str">
            <v>معقم أسطح 700 مم</v>
          </cell>
          <cell r="D398" t="str">
            <v>منظفات</v>
          </cell>
          <cell r="E398" t="str">
            <v>لتر</v>
          </cell>
          <cell r="F398" t="str">
            <v>الظاهرى</v>
          </cell>
          <cell r="G398">
            <v>14.006455617218935</v>
          </cell>
        </row>
        <row r="399">
          <cell r="B399">
            <v>540</v>
          </cell>
          <cell r="C399" t="str">
            <v>ملمع استيل 300مم</v>
          </cell>
          <cell r="D399" t="str">
            <v>منظفات</v>
          </cell>
          <cell r="E399" t="str">
            <v>لتر</v>
          </cell>
          <cell r="F399" t="str">
            <v>واد العطاء</v>
          </cell>
          <cell r="G399">
            <v>26.566916666666661</v>
          </cell>
        </row>
        <row r="400">
          <cell r="B400">
            <v>578</v>
          </cell>
          <cell r="C400" t="str">
            <v>ملمع زجاج بخاخ</v>
          </cell>
          <cell r="D400" t="str">
            <v>منظفات</v>
          </cell>
          <cell r="E400" t="str">
            <v>لتر</v>
          </cell>
          <cell r="F400" t="str">
            <v>الظاهرى</v>
          </cell>
          <cell r="G400">
            <v>4.4229000000000003</v>
          </cell>
        </row>
        <row r="401">
          <cell r="B401">
            <v>603</v>
          </cell>
          <cell r="C401" t="str">
            <v>مزيل دهون بخاخ  1 لتر</v>
          </cell>
          <cell r="D401" t="str">
            <v>منظفات</v>
          </cell>
          <cell r="E401" t="str">
            <v>لتر</v>
          </cell>
          <cell r="F401" t="str">
            <v>الظاهرى</v>
          </cell>
          <cell r="G401">
            <v>12.938000000000001</v>
          </cell>
        </row>
        <row r="402">
          <cell r="B402">
            <v>71</v>
          </cell>
          <cell r="C402" t="str">
            <v>قفاز اسود</v>
          </cell>
          <cell r="D402" t="str">
            <v>منظفات</v>
          </cell>
          <cell r="E402" t="str">
            <v>علبة</v>
          </cell>
          <cell r="F402" t="str">
            <v>الصحة الفريدة</v>
          </cell>
          <cell r="G402">
            <v>5.5</v>
          </cell>
        </row>
        <row r="403">
          <cell r="B403">
            <v>454</v>
          </cell>
          <cell r="C403" t="str">
            <v>أكياس نفايات 10 - المشربية</v>
          </cell>
          <cell r="D403" t="str">
            <v>منظفات</v>
          </cell>
          <cell r="E403" t="str">
            <v>كيلو</v>
          </cell>
          <cell r="F403" t="str">
            <v>الظاهرى</v>
          </cell>
          <cell r="G403">
            <v>6.7079500000000012</v>
          </cell>
        </row>
        <row r="404">
          <cell r="B404">
            <v>502</v>
          </cell>
          <cell r="C404" t="str">
            <v>سبرتو 1 لتر - المشربية</v>
          </cell>
          <cell r="D404" t="str">
            <v>منظفات</v>
          </cell>
          <cell r="E404" t="str">
            <v>لتر</v>
          </cell>
          <cell r="F404">
            <v>0</v>
          </cell>
          <cell r="G404">
            <v>0</v>
          </cell>
        </row>
        <row r="405">
          <cell r="B405">
            <v>40</v>
          </cell>
          <cell r="C405" t="str">
            <v>ملمع استيل 700مل</v>
          </cell>
          <cell r="D405" t="str">
            <v>منظفات</v>
          </cell>
          <cell r="E405" t="str">
            <v>لتر</v>
          </cell>
          <cell r="F405">
            <v>0</v>
          </cell>
          <cell r="G405">
            <v>16.53125</v>
          </cell>
        </row>
        <row r="406">
          <cell r="B406">
            <v>651</v>
          </cell>
          <cell r="C406" t="str">
            <v>فحم اندونيسى 10 كيلو</v>
          </cell>
          <cell r="D406" t="str">
            <v>أدوات تشغيل</v>
          </cell>
          <cell r="E406" t="str">
            <v>كرتون</v>
          </cell>
          <cell r="F406" t="str">
            <v>مشتريات مباشرة</v>
          </cell>
          <cell r="G406">
            <v>0</v>
          </cell>
        </row>
        <row r="407">
          <cell r="B407">
            <v>176</v>
          </cell>
          <cell r="C407" t="str">
            <v>دسبنسر صابون</v>
          </cell>
          <cell r="D407" t="str">
            <v>أدوات تشغيل</v>
          </cell>
          <cell r="E407" t="str">
            <v>حبة</v>
          </cell>
          <cell r="F407">
            <v>0</v>
          </cell>
          <cell r="G407">
            <v>12.458333333333334</v>
          </cell>
        </row>
        <row r="408">
          <cell r="B408">
            <v>132</v>
          </cell>
          <cell r="C408" t="str">
            <v>ريش تهوية</v>
          </cell>
          <cell r="D408" t="str">
            <v>أدوات تشغيل</v>
          </cell>
          <cell r="E408" t="str">
            <v>حبة</v>
          </cell>
          <cell r="F408">
            <v>0</v>
          </cell>
          <cell r="G408">
            <v>0</v>
          </cell>
        </row>
        <row r="409">
          <cell r="B409">
            <v>135</v>
          </cell>
          <cell r="C409" t="str">
            <v>مكنسة</v>
          </cell>
          <cell r="D409" t="str">
            <v>أدوات تشغيل</v>
          </cell>
          <cell r="E409" t="str">
            <v>حبة</v>
          </cell>
          <cell r="F409">
            <v>0</v>
          </cell>
          <cell r="G409">
            <v>0</v>
          </cell>
        </row>
        <row r="410">
          <cell r="B410">
            <v>180</v>
          </cell>
          <cell r="C410" t="str">
            <v>مساحة أرضيات قماش</v>
          </cell>
          <cell r="D410" t="str">
            <v>أدوات تشغيل</v>
          </cell>
          <cell r="E410" t="str">
            <v>حبة</v>
          </cell>
          <cell r="F410">
            <v>0</v>
          </cell>
          <cell r="G410">
            <v>0</v>
          </cell>
        </row>
        <row r="411">
          <cell r="B411">
            <v>187</v>
          </cell>
          <cell r="C411" t="str">
            <v>بخاخ منظفات</v>
          </cell>
          <cell r="D411" t="str">
            <v>أدوات تشغيل</v>
          </cell>
          <cell r="E411" t="str">
            <v>حبة</v>
          </cell>
          <cell r="F411">
            <v>0</v>
          </cell>
          <cell r="G411">
            <v>0</v>
          </cell>
        </row>
        <row r="412">
          <cell r="B412">
            <v>620</v>
          </cell>
          <cell r="C412" t="str">
            <v>لوحة شرف - الموظف المثالي</v>
          </cell>
          <cell r="D412" t="str">
            <v>أدوات تشغيل</v>
          </cell>
          <cell r="E412" t="str">
            <v>عدد</v>
          </cell>
          <cell r="F412">
            <v>0</v>
          </cell>
          <cell r="G412">
            <v>0</v>
          </cell>
        </row>
        <row r="413">
          <cell r="B413">
            <v>366</v>
          </cell>
          <cell r="C413" t="str">
            <v>برامات فخار</v>
          </cell>
          <cell r="D413" t="str">
            <v>أدوات تشغيل</v>
          </cell>
          <cell r="E413" t="str">
            <v>حبة</v>
          </cell>
          <cell r="F413">
            <v>0</v>
          </cell>
          <cell r="G413">
            <v>0</v>
          </cell>
        </row>
        <row r="414">
          <cell r="B414">
            <v>636</v>
          </cell>
          <cell r="C414" t="str">
            <v>أكواب شاي زجاج</v>
          </cell>
          <cell r="D414" t="str">
            <v>أدوات تشغيل</v>
          </cell>
          <cell r="E414" t="str">
            <v>كرتونة</v>
          </cell>
          <cell r="F414">
            <v>0</v>
          </cell>
          <cell r="G414">
            <v>0</v>
          </cell>
        </row>
        <row r="415">
          <cell r="B415">
            <v>847</v>
          </cell>
          <cell r="C415" t="str">
            <v>فحم اندونيسي 5 كيلو</v>
          </cell>
          <cell r="D415" t="str">
            <v>أدوات تشغيل</v>
          </cell>
          <cell r="E415" t="str">
            <v>كرتونة</v>
          </cell>
          <cell r="F415" t="str">
            <v>مشتريات مباشرة</v>
          </cell>
          <cell r="G415">
            <v>0</v>
          </cell>
        </row>
        <row r="416">
          <cell r="B416">
            <v>77</v>
          </cell>
          <cell r="C416" t="str">
            <v>تيشرت بولو مع الشعار</v>
          </cell>
          <cell r="D416" t="str">
            <v>يونيفورم</v>
          </cell>
          <cell r="E416" t="str">
            <v>حبة</v>
          </cell>
          <cell r="F416">
            <v>0</v>
          </cell>
          <cell r="G416">
            <v>34.5</v>
          </cell>
        </row>
        <row r="417">
          <cell r="B417">
            <v>78</v>
          </cell>
          <cell r="C417" t="str">
            <v>مريلة إبروم</v>
          </cell>
          <cell r="D417" t="str">
            <v>يونيفورم</v>
          </cell>
          <cell r="E417" t="str">
            <v>حبة</v>
          </cell>
          <cell r="F417">
            <v>0</v>
          </cell>
          <cell r="G417">
            <v>92</v>
          </cell>
        </row>
        <row r="418">
          <cell r="B418">
            <v>129</v>
          </cell>
          <cell r="C418" t="str">
            <v>كاب</v>
          </cell>
          <cell r="D418" t="str">
            <v>يونيفورم</v>
          </cell>
          <cell r="E418" t="str">
            <v>حبة</v>
          </cell>
          <cell r="F418">
            <v>0</v>
          </cell>
          <cell r="G418">
            <v>17.25</v>
          </cell>
        </row>
        <row r="419">
          <cell r="B419">
            <v>130</v>
          </cell>
          <cell r="C419" t="str">
            <v>بنطلون بني</v>
          </cell>
          <cell r="D419" t="str">
            <v>يونيفورم</v>
          </cell>
          <cell r="E419" t="str">
            <v>حبة</v>
          </cell>
          <cell r="F419">
            <v>0</v>
          </cell>
          <cell r="G419">
            <v>0</v>
          </cell>
        </row>
        <row r="420">
          <cell r="B420">
            <v>155</v>
          </cell>
          <cell r="C420" t="str">
            <v>تيشرت أسود</v>
          </cell>
          <cell r="D420" t="str">
            <v>يونيفورم</v>
          </cell>
          <cell r="E420" t="str">
            <v>حبة</v>
          </cell>
          <cell r="F420">
            <v>0</v>
          </cell>
          <cell r="G420">
            <v>34.5</v>
          </cell>
        </row>
        <row r="421">
          <cell r="B421">
            <v>156</v>
          </cell>
          <cell r="C421" t="str">
            <v>تيشرت أحمر</v>
          </cell>
          <cell r="D421" t="str">
            <v>يونيفورم</v>
          </cell>
          <cell r="E421" t="str">
            <v>حبة</v>
          </cell>
          <cell r="F421">
            <v>0</v>
          </cell>
          <cell r="G421">
            <v>34.5</v>
          </cell>
        </row>
        <row r="422">
          <cell r="B422">
            <v>157</v>
          </cell>
          <cell r="C422" t="str">
            <v>معصم أسود</v>
          </cell>
          <cell r="D422" t="str">
            <v>يونيفورم</v>
          </cell>
          <cell r="E422" t="str">
            <v>حبة</v>
          </cell>
          <cell r="F422">
            <v>0</v>
          </cell>
          <cell r="G422">
            <v>0</v>
          </cell>
        </row>
        <row r="423">
          <cell r="B423">
            <v>274</v>
          </cell>
          <cell r="C423" t="str">
            <v>نيم تاق - اسطف</v>
          </cell>
          <cell r="D423" t="str">
            <v>يونيفورم</v>
          </cell>
          <cell r="E423" t="str">
            <v>حبة</v>
          </cell>
          <cell r="F423">
            <v>0</v>
          </cell>
          <cell r="G423">
            <v>0</v>
          </cell>
        </row>
        <row r="424">
          <cell r="B424">
            <v>102</v>
          </cell>
          <cell r="C424" t="str">
            <v>لحم عجل قطع</v>
          </cell>
          <cell r="D424" t="str">
            <v>اللحوم</v>
          </cell>
          <cell r="E424" t="str">
            <v>كيلو</v>
          </cell>
          <cell r="F424" t="str">
            <v>الجوهرة</v>
          </cell>
          <cell r="G424">
            <v>49.26</v>
          </cell>
        </row>
        <row r="425">
          <cell r="B425">
            <v>103</v>
          </cell>
          <cell r="C425" t="str">
            <v>لحم غنم قطع</v>
          </cell>
          <cell r="D425" t="str">
            <v>اللحوم</v>
          </cell>
          <cell r="E425" t="str">
            <v>كيلو</v>
          </cell>
          <cell r="F425" t="str">
            <v>الجوهرة</v>
          </cell>
          <cell r="G425">
            <v>60.429999999999993</v>
          </cell>
        </row>
        <row r="426">
          <cell r="B426">
            <v>599</v>
          </cell>
          <cell r="C426" t="str">
            <v>لحم غنم شاورما</v>
          </cell>
          <cell r="D426" t="str">
            <v>اللحوم</v>
          </cell>
          <cell r="E426" t="str">
            <v>كيلو</v>
          </cell>
          <cell r="F426" t="str">
            <v>الجوهرة</v>
          </cell>
          <cell r="G426">
            <v>60.429999999999993</v>
          </cell>
        </row>
        <row r="427">
          <cell r="B427">
            <v>600</v>
          </cell>
          <cell r="C427" t="str">
            <v>لحم عجل شاورما</v>
          </cell>
          <cell r="D427" t="str">
            <v>اللحوم</v>
          </cell>
          <cell r="E427" t="str">
            <v>كيلو</v>
          </cell>
          <cell r="F427" t="str">
            <v>الجوهرة</v>
          </cell>
          <cell r="G427">
            <v>49.26</v>
          </cell>
        </row>
        <row r="428">
          <cell r="B428">
            <v>83</v>
          </cell>
          <cell r="C428" t="str">
            <v>كبدة</v>
          </cell>
          <cell r="D428" t="str">
            <v>اللحوم</v>
          </cell>
          <cell r="E428" t="str">
            <v>كيلو</v>
          </cell>
          <cell r="F428" t="str">
            <v>الجوهرة</v>
          </cell>
          <cell r="G428">
            <v>49.57</v>
          </cell>
        </row>
        <row r="429">
          <cell r="B429">
            <v>777</v>
          </cell>
          <cell r="C429" t="str">
            <v>سجق مصنع</v>
          </cell>
          <cell r="D429" t="str">
            <v>اللحوم</v>
          </cell>
          <cell r="E429" t="str">
            <v>كيلو</v>
          </cell>
          <cell r="F429" t="str">
            <v>الجوهرة</v>
          </cell>
          <cell r="G429">
            <v>40</v>
          </cell>
        </row>
        <row r="430">
          <cell r="B430">
            <v>159</v>
          </cell>
          <cell r="C430" t="str">
            <v>ثوم كبدة</v>
          </cell>
          <cell r="D430" t="str">
            <v>منتجات مصنعة</v>
          </cell>
          <cell r="E430" t="str">
            <v>كيلو</v>
          </cell>
          <cell r="F430">
            <v>0</v>
          </cell>
          <cell r="G430">
            <v>0</v>
          </cell>
        </row>
        <row r="431">
          <cell r="B431">
            <v>429</v>
          </cell>
          <cell r="C431" t="str">
            <v>ملفية جاهز</v>
          </cell>
          <cell r="D431" t="str">
            <v>منتجات مصنعة</v>
          </cell>
          <cell r="E431" t="str">
            <v>كيلو</v>
          </cell>
          <cell r="F431">
            <v>0</v>
          </cell>
          <cell r="G431">
            <v>0</v>
          </cell>
        </row>
        <row r="432">
          <cell r="B432">
            <v>430</v>
          </cell>
          <cell r="C432" t="str">
            <v>تر</v>
          </cell>
          <cell r="D432" t="str">
            <v>منتجات مصنعة</v>
          </cell>
          <cell r="E432" t="str">
            <v>حبة</v>
          </cell>
          <cell r="F432">
            <v>0</v>
          </cell>
          <cell r="G432">
            <v>0</v>
          </cell>
        </row>
        <row r="433">
          <cell r="B433">
            <v>542</v>
          </cell>
          <cell r="C433" t="str">
            <v>عصير مانجو فريش</v>
          </cell>
          <cell r="D433" t="str">
            <v>منتجات مصنعة</v>
          </cell>
          <cell r="E433" t="str">
            <v>لتر</v>
          </cell>
          <cell r="F433">
            <v>0</v>
          </cell>
          <cell r="G433">
            <v>0</v>
          </cell>
        </row>
        <row r="434">
          <cell r="B434">
            <v>543</v>
          </cell>
          <cell r="C434" t="str">
            <v>عصير فراولة فريش</v>
          </cell>
          <cell r="D434" t="str">
            <v>منتجات مصنعة</v>
          </cell>
          <cell r="E434" t="str">
            <v>لتر</v>
          </cell>
          <cell r="F434">
            <v>0</v>
          </cell>
          <cell r="G434">
            <v>0</v>
          </cell>
        </row>
        <row r="435">
          <cell r="B435">
            <v>590</v>
          </cell>
          <cell r="C435" t="str">
            <v>قطعة طرب كبير</v>
          </cell>
          <cell r="D435" t="str">
            <v>منتجات مصنعة</v>
          </cell>
          <cell r="E435" t="str">
            <v>حبة</v>
          </cell>
          <cell r="F435">
            <v>0</v>
          </cell>
          <cell r="G435">
            <v>0</v>
          </cell>
        </row>
        <row r="436">
          <cell r="B436">
            <v>591</v>
          </cell>
          <cell r="C436" t="str">
            <v>قطعة طرب صغير</v>
          </cell>
          <cell r="D436" t="str">
            <v>منتجات مصنعة</v>
          </cell>
          <cell r="E436" t="str">
            <v>حبة</v>
          </cell>
          <cell r="F436">
            <v>0</v>
          </cell>
          <cell r="G436">
            <v>0</v>
          </cell>
        </row>
        <row r="437">
          <cell r="B437">
            <v>592</v>
          </cell>
          <cell r="C437" t="str">
            <v>كبدة اسكندراني</v>
          </cell>
          <cell r="D437" t="str">
            <v>منتجات مصنعة</v>
          </cell>
          <cell r="E437" t="str">
            <v>كيلو</v>
          </cell>
          <cell r="F437">
            <v>0</v>
          </cell>
          <cell r="G437">
            <v>0</v>
          </cell>
        </row>
        <row r="438">
          <cell r="B438">
            <v>625</v>
          </cell>
          <cell r="C438" t="str">
            <v>صلصة مكرونة</v>
          </cell>
          <cell r="D438" t="str">
            <v>منتجات مصنعة</v>
          </cell>
          <cell r="E438" t="str">
            <v>كيلو</v>
          </cell>
          <cell r="F438">
            <v>0</v>
          </cell>
          <cell r="G438">
            <v>0</v>
          </cell>
        </row>
        <row r="439">
          <cell r="B439">
            <v>742</v>
          </cell>
          <cell r="C439" t="str">
            <v>صوص جبنة - المشربية</v>
          </cell>
          <cell r="D439" t="str">
            <v>منتجات مصنعة</v>
          </cell>
          <cell r="E439" t="str">
            <v>كيلو</v>
          </cell>
          <cell r="F439">
            <v>0</v>
          </cell>
          <cell r="G439">
            <v>0</v>
          </cell>
        </row>
        <row r="440">
          <cell r="B440">
            <v>747</v>
          </cell>
          <cell r="C440" t="str">
            <v>عيش شامي المشربية</v>
          </cell>
          <cell r="D440" t="str">
            <v>منتجات مصنعة</v>
          </cell>
          <cell r="E440" t="str">
            <v>حبة</v>
          </cell>
          <cell r="F440">
            <v>0</v>
          </cell>
          <cell r="G440">
            <v>0</v>
          </cell>
        </row>
        <row r="441">
          <cell r="B441">
            <v>79</v>
          </cell>
          <cell r="C441" t="str">
            <v>سلطة طماطم</v>
          </cell>
          <cell r="D441" t="str">
            <v>منتجات مصنعة</v>
          </cell>
          <cell r="E441" t="str">
            <v>كيلو</v>
          </cell>
          <cell r="F441">
            <v>0</v>
          </cell>
          <cell r="G441">
            <v>0</v>
          </cell>
        </row>
        <row r="442">
          <cell r="B442">
            <v>80</v>
          </cell>
          <cell r="C442" t="str">
            <v>سلطة طحينة</v>
          </cell>
          <cell r="D442" t="str">
            <v>منتجات مصنعة</v>
          </cell>
          <cell r="E442" t="str">
            <v>كيلو</v>
          </cell>
          <cell r="F442">
            <v>0</v>
          </cell>
          <cell r="G442">
            <v>0</v>
          </cell>
        </row>
        <row r="443">
          <cell r="B443">
            <v>81</v>
          </cell>
          <cell r="C443" t="str">
            <v>سلطة سجق</v>
          </cell>
          <cell r="D443" t="str">
            <v>منتجات مصنعة</v>
          </cell>
          <cell r="E443" t="str">
            <v>كيلو</v>
          </cell>
          <cell r="F443">
            <v>0</v>
          </cell>
          <cell r="G443">
            <v>0</v>
          </cell>
        </row>
        <row r="444">
          <cell r="B444">
            <v>82</v>
          </cell>
          <cell r="C444" t="str">
            <v>كفتة</v>
          </cell>
          <cell r="D444" t="str">
            <v>منتجات مصنعة</v>
          </cell>
          <cell r="E444" t="str">
            <v>كيلو</v>
          </cell>
          <cell r="F444">
            <v>0</v>
          </cell>
          <cell r="G444">
            <v>0</v>
          </cell>
        </row>
        <row r="445">
          <cell r="B445">
            <v>84</v>
          </cell>
          <cell r="C445" t="str">
            <v xml:space="preserve">سجق </v>
          </cell>
          <cell r="D445" t="str">
            <v>منتجات مصنعة</v>
          </cell>
          <cell r="E445" t="str">
            <v>كيلو</v>
          </cell>
          <cell r="F445">
            <v>0</v>
          </cell>
          <cell r="G445">
            <v>0</v>
          </cell>
        </row>
        <row r="446">
          <cell r="B446">
            <v>85</v>
          </cell>
          <cell r="C446" t="str">
            <v>حواوشي</v>
          </cell>
          <cell r="D446" t="str">
            <v>منتجات مصنعة</v>
          </cell>
          <cell r="E446" t="str">
            <v>كيلو</v>
          </cell>
          <cell r="F446">
            <v>0</v>
          </cell>
          <cell r="G446">
            <v>0</v>
          </cell>
        </row>
        <row r="447">
          <cell r="B447">
            <v>88</v>
          </cell>
          <cell r="C447" t="str">
            <v>شاورما مصنعة</v>
          </cell>
          <cell r="D447" t="str">
            <v>منتجات مصنعة</v>
          </cell>
          <cell r="E447" t="str">
            <v>كيلو</v>
          </cell>
          <cell r="F447">
            <v>0</v>
          </cell>
          <cell r="G447">
            <v>0</v>
          </cell>
        </row>
        <row r="448">
          <cell r="B448">
            <v>818</v>
          </cell>
          <cell r="C448" t="str">
            <v>ليمون بلدي</v>
          </cell>
          <cell r="D448" t="str">
            <v>الخضار</v>
          </cell>
          <cell r="E448" t="str">
            <v>كيلو</v>
          </cell>
          <cell r="F448">
            <v>0</v>
          </cell>
          <cell r="G448">
            <v>0</v>
          </cell>
        </row>
        <row r="449">
          <cell r="B449">
            <v>548</v>
          </cell>
          <cell r="C449" t="str">
            <v>كيوي</v>
          </cell>
          <cell r="D449" t="str">
            <v>الخضار</v>
          </cell>
          <cell r="E449" t="str">
            <v>كيلو</v>
          </cell>
          <cell r="F449" t="str">
            <v>فروت مكس</v>
          </cell>
          <cell r="G449">
            <v>9.2000000000000011</v>
          </cell>
        </row>
        <row r="450">
          <cell r="B450">
            <v>100</v>
          </cell>
          <cell r="C450" t="str">
            <v>شمام</v>
          </cell>
          <cell r="D450" t="str">
            <v>الخضار</v>
          </cell>
          <cell r="E450" t="str">
            <v>كيلو</v>
          </cell>
          <cell r="F450" t="str">
            <v>فروت مكس</v>
          </cell>
          <cell r="G450">
            <v>4.37</v>
          </cell>
        </row>
        <row r="451">
          <cell r="B451">
            <v>124</v>
          </cell>
          <cell r="C451" t="str">
            <v>جرجير</v>
          </cell>
          <cell r="D451" t="str">
            <v>الخضار</v>
          </cell>
          <cell r="E451" t="str">
            <v>كيلو</v>
          </cell>
          <cell r="F451" t="str">
            <v>فروت مكس</v>
          </cell>
          <cell r="G451">
            <v>4.6000000000000005</v>
          </cell>
        </row>
        <row r="452">
          <cell r="B452">
            <v>125</v>
          </cell>
          <cell r="C452" t="str">
            <v>نعناع</v>
          </cell>
          <cell r="D452" t="str">
            <v>الخضار</v>
          </cell>
          <cell r="E452" t="str">
            <v>كيلو</v>
          </cell>
          <cell r="F452" t="str">
            <v>فروت مكس</v>
          </cell>
          <cell r="G452">
            <v>4.5999999999999988</v>
          </cell>
        </row>
        <row r="453">
          <cell r="B453">
            <v>126</v>
          </cell>
          <cell r="C453" t="str">
            <v>بصل برنواز</v>
          </cell>
          <cell r="D453" t="str">
            <v>الخضار</v>
          </cell>
          <cell r="E453" t="str">
            <v>كيلو</v>
          </cell>
          <cell r="F453">
            <v>0</v>
          </cell>
          <cell r="G453">
            <v>0</v>
          </cell>
        </row>
        <row r="454">
          <cell r="B454">
            <v>518</v>
          </cell>
          <cell r="C454" t="str">
            <v>ليمون كبدة</v>
          </cell>
          <cell r="D454" t="str">
            <v>الخضار</v>
          </cell>
          <cell r="E454" t="str">
            <v>كيلو</v>
          </cell>
          <cell r="F454" t="str">
            <v>فروت مكس</v>
          </cell>
          <cell r="G454">
            <v>6.8999999999999995</v>
          </cell>
        </row>
        <row r="455">
          <cell r="B455">
            <v>544</v>
          </cell>
          <cell r="C455" t="str">
            <v>مانجو</v>
          </cell>
          <cell r="D455" t="str">
            <v>الخضار</v>
          </cell>
          <cell r="E455" t="str">
            <v>كيلو</v>
          </cell>
          <cell r="F455" t="str">
            <v>فروت مكس</v>
          </cell>
          <cell r="G455">
            <v>10.35</v>
          </cell>
        </row>
        <row r="456">
          <cell r="B456">
            <v>576</v>
          </cell>
          <cell r="C456" t="str">
            <v>كوسا</v>
          </cell>
          <cell r="D456" t="str">
            <v>الخضار</v>
          </cell>
          <cell r="E456" t="str">
            <v>كيلو</v>
          </cell>
          <cell r="F456" t="str">
            <v>فروت مكس</v>
          </cell>
          <cell r="G456">
            <v>4.6000000000000005</v>
          </cell>
        </row>
        <row r="457">
          <cell r="B457">
            <v>583</v>
          </cell>
          <cell r="C457" t="str">
            <v>جزر</v>
          </cell>
          <cell r="D457" t="str">
            <v>الخضار</v>
          </cell>
          <cell r="E457" t="str">
            <v>كيلو</v>
          </cell>
          <cell r="F457" t="str">
            <v>فروت مكس</v>
          </cell>
          <cell r="G457">
            <v>4.5999999999999988</v>
          </cell>
        </row>
        <row r="458">
          <cell r="B458">
            <v>755</v>
          </cell>
          <cell r="C458" t="str">
            <v>بصل جوانح</v>
          </cell>
          <cell r="D458" t="str">
            <v>الخضار</v>
          </cell>
          <cell r="E458" t="str">
            <v>كيلو</v>
          </cell>
          <cell r="F458">
            <v>0</v>
          </cell>
          <cell r="G458">
            <v>0</v>
          </cell>
        </row>
        <row r="459">
          <cell r="B459">
            <v>89</v>
          </cell>
          <cell r="C459" t="str">
            <v>طماطم</v>
          </cell>
          <cell r="D459" t="str">
            <v>الخضار</v>
          </cell>
          <cell r="E459" t="str">
            <v>كيلو</v>
          </cell>
          <cell r="F459" t="str">
            <v>فروت مكس</v>
          </cell>
          <cell r="G459">
            <v>4.0249999999999995</v>
          </cell>
        </row>
        <row r="460">
          <cell r="B460">
            <v>91</v>
          </cell>
          <cell r="C460" t="str">
            <v>بصل احمر</v>
          </cell>
          <cell r="D460" t="str">
            <v>الخضار</v>
          </cell>
          <cell r="E460" t="str">
            <v>كيلو</v>
          </cell>
          <cell r="F460" t="str">
            <v>فروت مكس</v>
          </cell>
          <cell r="G460">
            <v>3.4500000000000011</v>
          </cell>
        </row>
        <row r="461">
          <cell r="B461">
            <v>93</v>
          </cell>
          <cell r="C461" t="str">
            <v>بقدونس</v>
          </cell>
          <cell r="D461" t="str">
            <v>الخضار</v>
          </cell>
          <cell r="E461" t="str">
            <v>كيلو</v>
          </cell>
          <cell r="F461" t="str">
            <v>فروت مكس</v>
          </cell>
          <cell r="G461">
            <v>4.5999999999999996</v>
          </cell>
        </row>
        <row r="462">
          <cell r="B462">
            <v>94</v>
          </cell>
          <cell r="C462" t="str">
            <v>فلفل رومى الوان</v>
          </cell>
          <cell r="D462" t="str">
            <v>الخضار</v>
          </cell>
          <cell r="E462" t="str">
            <v>كيلو</v>
          </cell>
          <cell r="F462" t="str">
            <v>فروت مكس</v>
          </cell>
          <cell r="G462">
            <v>9.1999999999999993</v>
          </cell>
        </row>
        <row r="463">
          <cell r="B463">
            <v>95</v>
          </cell>
          <cell r="C463" t="str">
            <v xml:space="preserve">ثوم </v>
          </cell>
          <cell r="D463" t="str">
            <v>الخضار</v>
          </cell>
          <cell r="E463" t="str">
            <v>كيلو</v>
          </cell>
          <cell r="F463" t="str">
            <v>فروت مكس</v>
          </cell>
          <cell r="G463">
            <v>11.5</v>
          </cell>
        </row>
        <row r="464">
          <cell r="B464">
            <v>96</v>
          </cell>
          <cell r="C464" t="str">
            <v>بطاطس</v>
          </cell>
          <cell r="D464" t="str">
            <v>الخضار</v>
          </cell>
          <cell r="E464" t="str">
            <v>كيلو</v>
          </cell>
          <cell r="F464" t="str">
            <v>فروت مكس</v>
          </cell>
          <cell r="G464">
            <v>3.45</v>
          </cell>
        </row>
        <row r="465">
          <cell r="B465">
            <v>97</v>
          </cell>
          <cell r="C465" t="str">
            <v>فلفل مشاوى</v>
          </cell>
          <cell r="D465" t="str">
            <v>الخضار</v>
          </cell>
          <cell r="E465" t="str">
            <v>كيلو</v>
          </cell>
          <cell r="F465" t="str">
            <v>فروت مكس</v>
          </cell>
          <cell r="G465">
            <v>5.7500000000000009</v>
          </cell>
        </row>
        <row r="466">
          <cell r="B466">
            <v>98</v>
          </cell>
          <cell r="C466" t="str">
            <v xml:space="preserve">ليمون </v>
          </cell>
          <cell r="D466" t="str">
            <v>الخضار</v>
          </cell>
          <cell r="E466" t="str">
            <v>كيلو</v>
          </cell>
          <cell r="F466" t="str">
            <v>فروت مكس</v>
          </cell>
          <cell r="G466">
            <v>5.7500000000000009</v>
          </cell>
        </row>
        <row r="467">
          <cell r="B467">
            <v>99</v>
          </cell>
          <cell r="C467" t="str">
            <v>بطيخ</v>
          </cell>
          <cell r="D467" t="str">
            <v>الخضار</v>
          </cell>
          <cell r="E467" t="str">
            <v>كيلو</v>
          </cell>
          <cell r="F467" t="str">
            <v>فروت مكس</v>
          </cell>
          <cell r="G467">
            <v>3.4499999999999993</v>
          </cell>
        </row>
        <row r="468">
          <cell r="B468">
            <v>90</v>
          </cell>
          <cell r="C468" t="str">
            <v>بصل ابيض</v>
          </cell>
          <cell r="D468" t="str">
            <v>الخضار</v>
          </cell>
          <cell r="E468" t="str">
            <v>كيلو</v>
          </cell>
          <cell r="F468" t="str">
            <v>فروت مكس</v>
          </cell>
          <cell r="G468">
            <v>4.370000000000001</v>
          </cell>
        </row>
        <row r="469">
          <cell r="B469">
            <v>546</v>
          </cell>
          <cell r="C469" t="str">
            <v>كزبرة</v>
          </cell>
          <cell r="D469" t="str">
            <v>الخضار</v>
          </cell>
          <cell r="E469" t="str">
            <v>كيلو</v>
          </cell>
          <cell r="F469" t="str">
            <v>فروت مكس</v>
          </cell>
          <cell r="G469">
            <v>4.6000000000000005</v>
          </cell>
        </row>
        <row r="470">
          <cell r="B470">
            <v>101</v>
          </cell>
          <cell r="C470" t="str">
            <v>فلفل رومى اخضر</v>
          </cell>
          <cell r="D470" t="str">
            <v>الخضار</v>
          </cell>
          <cell r="E470" t="str">
            <v>كيلو</v>
          </cell>
          <cell r="F470" t="str">
            <v>فروت مكس</v>
          </cell>
          <cell r="G470">
            <v>4.5999999999999988</v>
          </cell>
        </row>
        <row r="471">
          <cell r="B471">
            <v>421</v>
          </cell>
          <cell r="C471" t="str">
            <v>بسبوسة حلا</v>
          </cell>
          <cell r="D471" t="str">
            <v>مواد غذائية (طحينة)</v>
          </cell>
          <cell r="E471" t="str">
            <v>كيلو</v>
          </cell>
          <cell r="F471">
            <v>0</v>
          </cell>
          <cell r="G471">
            <v>0</v>
          </cell>
        </row>
        <row r="472">
          <cell r="B472">
            <v>407</v>
          </cell>
          <cell r="C472" t="str">
            <v>كنافة حلا</v>
          </cell>
          <cell r="D472" t="str">
            <v>مواد غذائية (طحينة)</v>
          </cell>
          <cell r="E472" t="str">
            <v>كيلو</v>
          </cell>
          <cell r="F472">
            <v>0</v>
          </cell>
          <cell r="G472">
            <v>0</v>
          </cell>
        </row>
        <row r="473">
          <cell r="B473">
            <v>105</v>
          </cell>
          <cell r="C473" t="str">
            <v>منديل طرب</v>
          </cell>
          <cell r="D473" t="str">
            <v>اللحوم المساعدة</v>
          </cell>
          <cell r="E473" t="str">
            <v>كيلو</v>
          </cell>
          <cell r="F473" t="str">
            <v>مشتريات مباشرة</v>
          </cell>
          <cell r="G473">
            <v>9.5047547760406914</v>
          </cell>
        </row>
        <row r="474">
          <cell r="B474">
            <v>165</v>
          </cell>
          <cell r="C474" t="str">
            <v>هانك</v>
          </cell>
          <cell r="D474" t="str">
            <v>اللحوم</v>
          </cell>
          <cell r="E474" t="str">
            <v>رابطة</v>
          </cell>
          <cell r="F474" t="str">
            <v>الجوهرة</v>
          </cell>
          <cell r="G474">
            <v>15</v>
          </cell>
        </row>
        <row r="475">
          <cell r="B475">
            <v>104</v>
          </cell>
          <cell r="C475" t="str">
            <v>لية</v>
          </cell>
          <cell r="D475" t="str">
            <v>اللحوم المساعدة</v>
          </cell>
          <cell r="E475" t="str">
            <v>كيلو</v>
          </cell>
          <cell r="F475" t="str">
            <v>اوزيل التركي</v>
          </cell>
          <cell r="G475">
            <v>28.974761881738633</v>
          </cell>
        </row>
        <row r="476">
          <cell r="B476">
            <v>193</v>
          </cell>
          <cell r="C476" t="str">
            <v>بهارات كفتة</v>
          </cell>
          <cell r="D476" t="str">
            <v>بهارات مصنعة</v>
          </cell>
          <cell r="E476" t="str">
            <v>كيلو</v>
          </cell>
          <cell r="F476" t="str">
            <v>الجوهرة</v>
          </cell>
          <cell r="G476">
            <v>21.74</v>
          </cell>
        </row>
        <row r="477">
          <cell r="B477">
            <v>194</v>
          </cell>
          <cell r="C477" t="str">
            <v>بهارات طرب</v>
          </cell>
          <cell r="D477" t="str">
            <v>بهارات مصنعة</v>
          </cell>
          <cell r="E477" t="str">
            <v>كيلو</v>
          </cell>
          <cell r="F477" t="str">
            <v>الجوهرة</v>
          </cell>
          <cell r="G477">
            <v>21.739999999999995</v>
          </cell>
        </row>
        <row r="478">
          <cell r="B478">
            <v>195</v>
          </cell>
          <cell r="C478" t="str">
            <v>بهارات حواوشي</v>
          </cell>
          <cell r="D478" t="str">
            <v>بهارات مصنعة</v>
          </cell>
          <cell r="E478" t="str">
            <v>كيلو</v>
          </cell>
          <cell r="F478" t="str">
            <v>الجوهرة</v>
          </cell>
          <cell r="G478">
            <v>21.739999999999995</v>
          </cell>
        </row>
        <row r="479">
          <cell r="B479">
            <v>196</v>
          </cell>
          <cell r="C479" t="str">
            <v>بهارات سدق</v>
          </cell>
          <cell r="D479" t="str">
            <v>بهارات مصنعة</v>
          </cell>
          <cell r="E479" t="str">
            <v>كيلو</v>
          </cell>
          <cell r="F479" t="str">
            <v>الجوهرة</v>
          </cell>
          <cell r="G479">
            <v>21.74</v>
          </cell>
        </row>
        <row r="480">
          <cell r="B480">
            <v>197</v>
          </cell>
          <cell r="C480" t="str">
            <v>بهارات كبدة</v>
          </cell>
          <cell r="D480" t="str">
            <v>بهارات مصنعة</v>
          </cell>
          <cell r="E480" t="str">
            <v>كيلو</v>
          </cell>
          <cell r="F480" t="str">
            <v>الجوهرة</v>
          </cell>
          <cell r="G480">
            <v>21.740000000000002</v>
          </cell>
        </row>
        <row r="481">
          <cell r="B481">
            <v>514</v>
          </cell>
          <cell r="C481" t="str">
            <v>بهارات شاورما</v>
          </cell>
          <cell r="D481" t="str">
            <v>بهارات مصنعة</v>
          </cell>
          <cell r="E481" t="str">
            <v>كيلو</v>
          </cell>
          <cell r="F481" t="str">
            <v>الجوهرة</v>
          </cell>
          <cell r="G481">
            <v>34.78</v>
          </cell>
        </row>
        <row r="482">
          <cell r="B482">
            <v>588</v>
          </cell>
          <cell r="C482" t="str">
            <v>بهارات سلطة طماطم</v>
          </cell>
          <cell r="D482" t="str">
            <v>بهارات مصنعة</v>
          </cell>
          <cell r="E482" t="str">
            <v>كيلو</v>
          </cell>
          <cell r="F482" t="str">
            <v>الجوهرة</v>
          </cell>
          <cell r="G482">
            <v>21.74</v>
          </cell>
        </row>
        <row r="483">
          <cell r="B483">
            <v>589</v>
          </cell>
          <cell r="C483" t="str">
            <v>بهارات طحينة</v>
          </cell>
          <cell r="D483" t="str">
            <v>بهارات مصنعة</v>
          </cell>
          <cell r="E483" t="str">
            <v>كيلو</v>
          </cell>
          <cell r="F483" t="str">
            <v>الجوهرة</v>
          </cell>
          <cell r="G483">
            <v>21.74</v>
          </cell>
        </row>
        <row r="484">
          <cell r="B484">
            <v>597</v>
          </cell>
          <cell r="C484" t="str">
            <v>بهارات وجبات اسطف</v>
          </cell>
          <cell r="D484" t="str">
            <v>بهارات مصنعة</v>
          </cell>
          <cell r="E484" t="str">
            <v>كيلو</v>
          </cell>
          <cell r="F484">
            <v>0</v>
          </cell>
          <cell r="G484">
            <v>0</v>
          </cell>
        </row>
        <row r="485">
          <cell r="B485">
            <v>822</v>
          </cell>
          <cell r="C485" t="str">
            <v>شبت</v>
          </cell>
          <cell r="D485" t="str">
            <v>خضار باك ستريت</v>
          </cell>
          <cell r="E485" t="str">
            <v>كيلو</v>
          </cell>
          <cell r="F485" t="str">
            <v>فروت مكس</v>
          </cell>
          <cell r="G485">
            <v>4.5999999999999996</v>
          </cell>
        </row>
        <row r="486">
          <cell r="B486">
            <v>825</v>
          </cell>
          <cell r="C486" t="str">
            <v>كرنب أبيض</v>
          </cell>
          <cell r="D486" t="str">
            <v>خضار باك ستريت</v>
          </cell>
          <cell r="E486" t="str">
            <v>كيلو</v>
          </cell>
          <cell r="F486">
            <v>0</v>
          </cell>
          <cell r="G486">
            <v>0</v>
          </cell>
        </row>
        <row r="487">
          <cell r="B487">
            <v>829</v>
          </cell>
          <cell r="C487" t="str">
            <v>زنجبيل فريش</v>
          </cell>
          <cell r="D487" t="str">
            <v>خضار باك ستريت</v>
          </cell>
          <cell r="E487" t="str">
            <v>كيلو</v>
          </cell>
          <cell r="F487">
            <v>0</v>
          </cell>
          <cell r="G487">
            <v>0</v>
          </cell>
        </row>
        <row r="488">
          <cell r="B488">
            <v>830</v>
          </cell>
          <cell r="C488" t="str">
            <v>ماشروم فريش</v>
          </cell>
          <cell r="D488" t="str">
            <v>خضار باك ستريت</v>
          </cell>
          <cell r="E488" t="str">
            <v>كيلو</v>
          </cell>
          <cell r="F488">
            <v>0</v>
          </cell>
          <cell r="G488">
            <v>26.45</v>
          </cell>
        </row>
        <row r="489">
          <cell r="B489">
            <v>831</v>
          </cell>
          <cell r="C489" t="str">
            <v>خس أمريكي</v>
          </cell>
          <cell r="D489" t="str">
            <v>خضار باك ستريت</v>
          </cell>
          <cell r="E489" t="str">
            <v>كيلو</v>
          </cell>
          <cell r="F489">
            <v>0</v>
          </cell>
          <cell r="G489">
            <v>0</v>
          </cell>
        </row>
        <row r="490">
          <cell r="B490">
            <v>833</v>
          </cell>
          <cell r="C490" t="str">
            <v>فلفل أحمر شطة</v>
          </cell>
          <cell r="D490" t="str">
            <v>خضار باك ستريت</v>
          </cell>
          <cell r="E490" t="str">
            <v>كيلو</v>
          </cell>
          <cell r="F490" t="str">
            <v>فروت مكس</v>
          </cell>
          <cell r="G490">
            <v>8.0500000000000007</v>
          </cell>
        </row>
        <row r="491">
          <cell r="B491">
            <v>832</v>
          </cell>
          <cell r="C491" t="str">
            <v>فلفل رومي أصفر</v>
          </cell>
          <cell r="D491" t="str">
            <v>خضار باك ستريت</v>
          </cell>
          <cell r="E491" t="str">
            <v>كيلو</v>
          </cell>
          <cell r="F491">
            <v>0</v>
          </cell>
          <cell r="G491">
            <v>0</v>
          </cell>
        </row>
        <row r="492">
          <cell r="B492">
            <v>834</v>
          </cell>
          <cell r="C492" t="str">
            <v>فلفل رومي أحمر</v>
          </cell>
          <cell r="D492" t="str">
            <v>خضار باك ستريت</v>
          </cell>
          <cell r="E492" t="str">
            <v>كيلو</v>
          </cell>
          <cell r="F492">
            <v>0</v>
          </cell>
          <cell r="G492">
            <v>0</v>
          </cell>
        </row>
        <row r="493">
          <cell r="B493">
            <v>838</v>
          </cell>
          <cell r="C493" t="str">
            <v>اروقولا</v>
          </cell>
          <cell r="D493" t="str">
            <v>خضار باك ستريت</v>
          </cell>
          <cell r="E493" t="str">
            <v>كيلو</v>
          </cell>
          <cell r="F493">
            <v>0</v>
          </cell>
          <cell r="G493">
            <v>0</v>
          </cell>
        </row>
        <row r="494">
          <cell r="B494">
            <v>839</v>
          </cell>
          <cell r="C494" t="str">
            <v>خس كيل</v>
          </cell>
          <cell r="D494" t="str">
            <v>خضار باك ستريت</v>
          </cell>
          <cell r="E494" t="str">
            <v>كيلو</v>
          </cell>
          <cell r="F494">
            <v>0</v>
          </cell>
          <cell r="G494">
            <v>0</v>
          </cell>
        </row>
        <row r="495">
          <cell r="B495">
            <v>840</v>
          </cell>
          <cell r="C495" t="str">
            <v>فجل أحمر</v>
          </cell>
          <cell r="D495" t="str">
            <v>خضار باك ستريت</v>
          </cell>
          <cell r="E495" t="str">
            <v>كيلو</v>
          </cell>
          <cell r="F495">
            <v>0</v>
          </cell>
          <cell r="G495">
            <v>0</v>
          </cell>
        </row>
        <row r="496">
          <cell r="B496">
            <v>835</v>
          </cell>
          <cell r="C496" t="str">
            <v>بصل أخضر</v>
          </cell>
          <cell r="D496" t="str">
            <v>خضار باك ستريت</v>
          </cell>
          <cell r="E496" t="str">
            <v>كيلو</v>
          </cell>
          <cell r="F496">
            <v>0</v>
          </cell>
          <cell r="G496">
            <v>0</v>
          </cell>
        </row>
        <row r="497">
          <cell r="B497">
            <v>841</v>
          </cell>
          <cell r="C497" t="str">
            <v>خس أحمر</v>
          </cell>
          <cell r="D497" t="str">
            <v>خضار باك ستريت</v>
          </cell>
          <cell r="E497" t="str">
            <v>كيلو</v>
          </cell>
          <cell r="F497">
            <v>0</v>
          </cell>
          <cell r="G497">
            <v>0</v>
          </cell>
        </row>
        <row r="498">
          <cell r="B498">
            <v>842</v>
          </cell>
          <cell r="C498" t="str">
            <v>زعتر فريش</v>
          </cell>
          <cell r="D498" t="str">
            <v>خضار باك ستريت</v>
          </cell>
          <cell r="E498" t="str">
            <v>كيلو</v>
          </cell>
          <cell r="F498">
            <v>0</v>
          </cell>
          <cell r="G498">
            <v>0</v>
          </cell>
        </row>
        <row r="499">
          <cell r="B499">
            <v>824</v>
          </cell>
          <cell r="C499" t="str">
            <v>فاصوليا استرالي</v>
          </cell>
          <cell r="D499" t="str">
            <v>خضار باك ستريت</v>
          </cell>
          <cell r="E499" t="str">
            <v>كيلو</v>
          </cell>
          <cell r="F499">
            <v>0</v>
          </cell>
          <cell r="G499">
            <v>0</v>
          </cell>
        </row>
        <row r="500">
          <cell r="B500">
            <v>843</v>
          </cell>
          <cell r="C500" t="str">
            <v>ورق مشكل</v>
          </cell>
          <cell r="D500" t="str">
            <v>خضار باك ستريت</v>
          </cell>
          <cell r="E500" t="str">
            <v>كيلو</v>
          </cell>
          <cell r="F500">
            <v>0</v>
          </cell>
          <cell r="G500">
            <v>0</v>
          </cell>
        </row>
        <row r="501">
          <cell r="B501">
            <v>823</v>
          </cell>
          <cell r="C501" t="str">
            <v>كرافس</v>
          </cell>
          <cell r="D501" t="str">
            <v>خضار باك ستريت</v>
          </cell>
          <cell r="E501" t="str">
            <v>كيلو</v>
          </cell>
          <cell r="F501">
            <v>0</v>
          </cell>
          <cell r="G501">
            <v>0</v>
          </cell>
        </row>
        <row r="502">
          <cell r="B502">
            <v>826</v>
          </cell>
          <cell r="C502" t="str">
            <v>كرنب احمر</v>
          </cell>
          <cell r="D502" t="str">
            <v>خضار باك ستريت</v>
          </cell>
          <cell r="E502" t="str">
            <v>كيلو</v>
          </cell>
          <cell r="F502">
            <v>0</v>
          </cell>
          <cell r="G502">
            <v>0</v>
          </cell>
        </row>
        <row r="503">
          <cell r="B503">
            <v>844</v>
          </cell>
          <cell r="C503" t="str">
            <v>روزماري</v>
          </cell>
          <cell r="D503" t="str">
            <v>خضار باك ستريت</v>
          </cell>
          <cell r="E503" t="str">
            <v>كيلو</v>
          </cell>
          <cell r="F503">
            <v>0</v>
          </cell>
          <cell r="G503">
            <v>0</v>
          </cell>
        </row>
        <row r="504">
          <cell r="B504">
            <v>849</v>
          </cell>
          <cell r="C504" t="str">
            <v>بطاطس حلوه</v>
          </cell>
          <cell r="D504" t="str">
            <v>خضار باك ستريت</v>
          </cell>
          <cell r="E504" t="str">
            <v>كيلو</v>
          </cell>
          <cell r="F504">
            <v>0</v>
          </cell>
          <cell r="G504">
            <v>0</v>
          </cell>
        </row>
        <row r="505">
          <cell r="B505">
            <v>653</v>
          </cell>
          <cell r="C505" t="str">
            <v>افوكاتو - باك ستريت</v>
          </cell>
          <cell r="D505" t="str">
            <v>خضار باك ستريت</v>
          </cell>
          <cell r="E505" t="str">
            <v>كيلو</v>
          </cell>
          <cell r="F505">
            <v>0</v>
          </cell>
          <cell r="G505">
            <v>18</v>
          </cell>
        </row>
        <row r="506">
          <cell r="B506">
            <v>850</v>
          </cell>
          <cell r="C506" t="str">
            <v>ريحان</v>
          </cell>
          <cell r="D506" t="str">
            <v>خضار باك ستريت</v>
          </cell>
          <cell r="E506" t="str">
            <v>كيلو</v>
          </cell>
          <cell r="F506">
            <v>0</v>
          </cell>
          <cell r="G506">
            <v>0</v>
          </cell>
        </row>
        <row r="507">
          <cell r="B507">
            <v>564</v>
          </cell>
          <cell r="C507" t="str">
            <v>برتقال</v>
          </cell>
          <cell r="D507" t="str">
            <v>خضار وفواكه المشربية</v>
          </cell>
          <cell r="E507" t="str">
            <v>كيلو</v>
          </cell>
          <cell r="F507">
            <v>0</v>
          </cell>
          <cell r="G507">
            <v>4.5999999999999996</v>
          </cell>
        </row>
        <row r="508">
          <cell r="B508">
            <v>577</v>
          </cell>
          <cell r="C508" t="str">
            <v>باذنجان أسود</v>
          </cell>
          <cell r="D508" t="str">
            <v>خضار وفواكه المشربية</v>
          </cell>
          <cell r="E508" t="str">
            <v>كيلو</v>
          </cell>
          <cell r="F508">
            <v>0</v>
          </cell>
          <cell r="G508">
            <v>5.75</v>
          </cell>
        </row>
        <row r="509">
          <cell r="B509">
            <v>836</v>
          </cell>
          <cell r="C509" t="str">
            <v>كراث</v>
          </cell>
          <cell r="D509" t="str">
            <v>خضار وفواكه المشربية</v>
          </cell>
          <cell r="E509" t="str">
            <v>كيلو</v>
          </cell>
          <cell r="F509">
            <v>0</v>
          </cell>
          <cell r="G509">
            <v>0</v>
          </cell>
        </row>
        <row r="510">
          <cell r="B510">
            <v>837</v>
          </cell>
          <cell r="C510" t="str">
            <v>أناناس</v>
          </cell>
          <cell r="D510" t="str">
            <v>خضار وفواكه المشربية</v>
          </cell>
          <cell r="E510" t="str">
            <v>كيلو</v>
          </cell>
          <cell r="F510">
            <v>0</v>
          </cell>
          <cell r="G510">
            <v>9.1999999999999993</v>
          </cell>
        </row>
        <row r="511">
          <cell r="B511">
            <v>567</v>
          </cell>
          <cell r="C511" t="str">
            <v>أفوكادو</v>
          </cell>
          <cell r="D511" t="str">
            <v>خضار وفواكه المشربية</v>
          </cell>
          <cell r="E511" t="str">
            <v>كيلو</v>
          </cell>
          <cell r="F511">
            <v>0</v>
          </cell>
          <cell r="G511">
            <v>34.5</v>
          </cell>
        </row>
        <row r="512">
          <cell r="B512">
            <v>560</v>
          </cell>
          <cell r="C512" t="str">
            <v>تفاح أحمر</v>
          </cell>
          <cell r="D512" t="str">
            <v>خضار وفواكه المشربية</v>
          </cell>
          <cell r="E512" t="str">
            <v>كيلو</v>
          </cell>
          <cell r="F512">
            <v>0</v>
          </cell>
          <cell r="G512">
            <v>7.4749999999999996</v>
          </cell>
        </row>
        <row r="513">
          <cell r="B513">
            <v>565</v>
          </cell>
          <cell r="C513" t="str">
            <v>تفاح أخضر</v>
          </cell>
          <cell r="D513" t="str">
            <v>خضار وفواكه المشربية</v>
          </cell>
          <cell r="E513" t="str">
            <v>كيلو</v>
          </cell>
          <cell r="F513">
            <v>0</v>
          </cell>
          <cell r="G513">
            <v>7.4749999999999996</v>
          </cell>
        </row>
        <row r="514">
          <cell r="B514">
            <v>561</v>
          </cell>
          <cell r="C514" t="str">
            <v>موز أمريكي</v>
          </cell>
          <cell r="D514" t="str">
            <v>خضار وفواكه المشربية</v>
          </cell>
          <cell r="E514" t="str">
            <v>كيلو</v>
          </cell>
          <cell r="F514">
            <v>0</v>
          </cell>
          <cell r="G514">
            <v>5.7499999999999991</v>
          </cell>
        </row>
        <row r="515">
          <cell r="B515">
            <v>562</v>
          </cell>
          <cell r="C515" t="str">
            <v>فراولة أمريكي</v>
          </cell>
          <cell r="D515" t="str">
            <v>خضار وفواكه المشربية</v>
          </cell>
          <cell r="E515" t="str">
            <v>كيلو</v>
          </cell>
          <cell r="F515">
            <v>0</v>
          </cell>
          <cell r="G515">
            <v>17.25</v>
          </cell>
        </row>
        <row r="516">
          <cell r="B516">
            <v>821</v>
          </cell>
          <cell r="C516" t="str">
            <v>خيار</v>
          </cell>
          <cell r="D516" t="str">
            <v>خضار وفواكه المشربية</v>
          </cell>
          <cell r="E516" t="str">
            <v>كيلو</v>
          </cell>
          <cell r="F516">
            <v>0</v>
          </cell>
          <cell r="G516">
            <v>4.0907925170068031</v>
          </cell>
        </row>
        <row r="517">
          <cell r="B517">
            <v>558</v>
          </cell>
          <cell r="C517" t="str">
            <v>رمان</v>
          </cell>
          <cell r="D517" t="str">
            <v>خضار وفواكه المشربية</v>
          </cell>
          <cell r="E517" t="str">
            <v>كيلو</v>
          </cell>
          <cell r="F517">
            <v>0</v>
          </cell>
          <cell r="G517">
            <v>10.35</v>
          </cell>
        </row>
        <row r="518">
          <cell r="B518">
            <v>773</v>
          </cell>
          <cell r="C518" t="str">
            <v>كليشات مطبوعات</v>
          </cell>
          <cell r="D518">
            <v>0</v>
          </cell>
          <cell r="E518" t="str">
            <v>عدد</v>
          </cell>
          <cell r="F518">
            <v>0</v>
          </cell>
          <cell r="G518">
            <v>0</v>
          </cell>
        </row>
        <row r="519">
          <cell r="B519">
            <v>802</v>
          </cell>
          <cell r="C519" t="str">
            <v>خل عنب</v>
          </cell>
          <cell r="D519" t="str">
            <v>مواد غذائية (باك ستريت)</v>
          </cell>
          <cell r="E519" t="str">
            <v>لتر</v>
          </cell>
          <cell r="F519" t="str">
            <v>تموين الشرق - فريشلي</v>
          </cell>
          <cell r="G519">
            <v>0</v>
          </cell>
        </row>
        <row r="520">
          <cell r="B520">
            <v>400</v>
          </cell>
          <cell r="C520" t="str">
            <v>معسل مستكة ٢٥٠ جرام - المشربية</v>
          </cell>
          <cell r="D520" t="str">
            <v>الشيشة</v>
          </cell>
          <cell r="E520" t="str">
            <v>بكت</v>
          </cell>
          <cell r="F520" t="str">
            <v>معسلات المشربية</v>
          </cell>
          <cell r="G520">
            <v>67.500399999999999</v>
          </cell>
        </row>
        <row r="521">
          <cell r="B521">
            <v>779</v>
          </cell>
          <cell r="C521" t="str">
            <v>ماكينة اوتوكت</v>
          </cell>
          <cell r="D521" t="str">
            <v>أدوات تشغيل</v>
          </cell>
          <cell r="E521" t="str">
            <v>حبة</v>
          </cell>
          <cell r="F521">
            <v>0</v>
          </cell>
          <cell r="G521">
            <v>0</v>
          </cell>
        </row>
        <row r="522">
          <cell r="B522">
            <v>743</v>
          </cell>
          <cell r="C522" t="str">
            <v>علب صوص 2 اونز</v>
          </cell>
          <cell r="D522" t="str">
            <v>تعبئة و تغليف (باك ستريت)</v>
          </cell>
          <cell r="E522" t="str">
            <v>حبة</v>
          </cell>
          <cell r="F522" t="str">
            <v>الظاهرى</v>
          </cell>
          <cell r="G522">
            <v>0</v>
          </cell>
        </row>
        <row r="523">
          <cell r="B523">
            <v>854</v>
          </cell>
          <cell r="C523" t="str">
            <v>شمندر</v>
          </cell>
          <cell r="D523" t="str">
            <v>خضار وفواكه المشربية</v>
          </cell>
          <cell r="E523" t="str">
            <v>كيلو</v>
          </cell>
          <cell r="F523">
            <v>0</v>
          </cell>
          <cell r="G523">
            <v>0</v>
          </cell>
        </row>
        <row r="524">
          <cell r="B524">
            <v>426</v>
          </cell>
          <cell r="C524" t="str">
            <v xml:space="preserve">كريمة لوتس </v>
          </cell>
          <cell r="D524" t="str">
            <v>المشربية</v>
          </cell>
          <cell r="E524" t="str">
            <v>كيلو</v>
          </cell>
          <cell r="F524" t="str">
            <v>مشتريات مباشرة</v>
          </cell>
          <cell r="G524">
            <v>0</v>
          </cell>
        </row>
        <row r="525">
          <cell r="B525">
            <v>855</v>
          </cell>
          <cell r="C525" t="str">
            <v xml:space="preserve">مفرش سفرة غير مطبوع </v>
          </cell>
          <cell r="D525" t="str">
            <v>المشربية</v>
          </cell>
          <cell r="E525" t="str">
            <v>حبة</v>
          </cell>
          <cell r="F525" t="str">
            <v>مشتريات مباشرة</v>
          </cell>
          <cell r="G525">
            <v>0</v>
          </cell>
        </row>
        <row r="526">
          <cell r="B526">
            <v>545</v>
          </cell>
          <cell r="C526" t="str">
            <v>فلفل حار هندي</v>
          </cell>
          <cell r="D526" t="str">
            <v>خضار وفواكه المشربية</v>
          </cell>
          <cell r="E526" t="str">
            <v>كيلو</v>
          </cell>
          <cell r="F526">
            <v>0</v>
          </cell>
          <cell r="G526">
            <v>0</v>
          </cell>
        </row>
        <row r="527">
          <cell r="B527">
            <v>767</v>
          </cell>
          <cell r="C527" t="str">
            <v>غطاء علب حلا م16</v>
          </cell>
          <cell r="D527" t="str">
            <v>تعبئة و تغليف (باك ستريت)</v>
          </cell>
          <cell r="E527" t="str">
            <v>حبة</v>
          </cell>
          <cell r="F527" t="str">
            <v>هوت باك</v>
          </cell>
          <cell r="G527">
            <v>0</v>
          </cell>
        </row>
        <row r="528">
          <cell r="B528">
            <v>856</v>
          </cell>
          <cell r="C528" t="str">
            <v>شحن</v>
          </cell>
          <cell r="D528" t="str">
            <v>مصاريف نقل</v>
          </cell>
          <cell r="E528" t="str">
            <v>حبة</v>
          </cell>
          <cell r="F528">
            <v>0</v>
          </cell>
          <cell r="G528">
            <v>0</v>
          </cell>
        </row>
        <row r="529">
          <cell r="B529">
            <v>383</v>
          </cell>
          <cell r="C529" t="str">
            <v>فشار البطل كراميل مملح - المشربية</v>
          </cell>
          <cell r="D529" t="str">
            <v>مواد غذائية (المشربية)</v>
          </cell>
          <cell r="E529" t="str">
            <v>كيس</v>
          </cell>
          <cell r="F529" t="str">
            <v>مشتريات مباشرة</v>
          </cell>
          <cell r="G529">
            <v>0</v>
          </cell>
        </row>
        <row r="530">
          <cell r="B530">
            <v>857</v>
          </cell>
          <cell r="C530" t="str">
            <v>لحمة بولر بليد بقر</v>
          </cell>
          <cell r="D530" t="str">
            <v>لحوم باك ستريت</v>
          </cell>
          <cell r="E530" t="str">
            <v>كيلو</v>
          </cell>
          <cell r="F530">
            <v>0</v>
          </cell>
          <cell r="G530">
            <v>0</v>
          </cell>
        </row>
        <row r="531">
          <cell r="B531">
            <v>524</v>
          </cell>
          <cell r="C531" t="str">
            <v>وجبة غذائية</v>
          </cell>
          <cell r="D531" t="str">
            <v>وجبات اسطف</v>
          </cell>
          <cell r="E531" t="str">
            <v>عدد</v>
          </cell>
          <cell r="F531">
            <v>0</v>
          </cell>
          <cell r="G531">
            <v>0</v>
          </cell>
        </row>
        <row r="532">
          <cell r="B532">
            <v>859</v>
          </cell>
          <cell r="C532" t="str">
            <v xml:space="preserve">ظرف ورق بني </v>
          </cell>
          <cell r="D532" t="str">
            <v>تعبئة و تغليف (باك ستريت)</v>
          </cell>
          <cell r="E532" t="str">
            <v>بكت</v>
          </cell>
          <cell r="F532" t="str">
            <v>مشتريات مباشرة</v>
          </cell>
          <cell r="G532">
            <v>0</v>
          </cell>
        </row>
        <row r="533">
          <cell r="B533">
            <v>358</v>
          </cell>
          <cell r="C533" t="str">
            <v>حجر شيشة - المشربية</v>
          </cell>
          <cell r="D533" t="str">
            <v>المشربية</v>
          </cell>
          <cell r="E533" t="str">
            <v>حبة</v>
          </cell>
          <cell r="F533">
            <v>0</v>
          </cell>
          <cell r="G533">
            <v>0</v>
          </cell>
        </row>
        <row r="534">
          <cell r="B534">
            <v>694</v>
          </cell>
          <cell r="C534" t="str">
            <v xml:space="preserve">لحمه ريب أي </v>
          </cell>
          <cell r="D534" t="str">
            <v>لحوم باك ستريت</v>
          </cell>
          <cell r="E534" t="str">
            <v>كيلو</v>
          </cell>
          <cell r="F534" t="str">
            <v>اللحمة الذهبية</v>
          </cell>
          <cell r="G534">
            <v>149.5</v>
          </cell>
        </row>
        <row r="535">
          <cell r="B535">
            <v>827</v>
          </cell>
          <cell r="C535" t="str">
            <v>سيراتشا</v>
          </cell>
          <cell r="D535" t="str">
            <v>تعبئة و تغليف (باك ستريت)</v>
          </cell>
          <cell r="E535" t="str">
            <v>كيلو</v>
          </cell>
          <cell r="F535" t="str">
            <v>تموين الشرق - فريشلي</v>
          </cell>
          <cell r="G535">
            <v>0</v>
          </cell>
        </row>
        <row r="536">
          <cell r="B536">
            <v>860</v>
          </cell>
          <cell r="C536" t="str">
            <v>بوكسات وجبات الاطفال</v>
          </cell>
          <cell r="D536" t="str">
            <v>تعبئة وتغليف (طحينة)</v>
          </cell>
          <cell r="E536" t="str">
            <v>حبة</v>
          </cell>
          <cell r="F536">
            <v>0</v>
          </cell>
          <cell r="G536">
            <v>0</v>
          </cell>
        </row>
        <row r="537">
          <cell r="B537">
            <v>861</v>
          </cell>
          <cell r="C537" t="str">
            <v>بوكس سحاب كلبز</v>
          </cell>
          <cell r="D537" t="str">
            <v>تعبئة وتغليف (طحينة)</v>
          </cell>
          <cell r="E537" t="str">
            <v>حبة</v>
          </cell>
          <cell r="F537">
            <v>0</v>
          </cell>
          <cell r="G537">
            <v>0</v>
          </cell>
        </row>
        <row r="538">
          <cell r="B538">
            <v>862</v>
          </cell>
          <cell r="C538" t="str">
            <v>مناديل سفرة مطبوع ليالي حليم</v>
          </cell>
          <cell r="D538" t="str">
            <v>مطبوعات (ليالي حليم)</v>
          </cell>
          <cell r="E538" t="str">
            <v>حبة</v>
          </cell>
          <cell r="F538">
            <v>0</v>
          </cell>
          <cell r="G538">
            <v>0</v>
          </cell>
        </row>
        <row r="539">
          <cell r="B539">
            <v>863</v>
          </cell>
          <cell r="C539" t="str">
            <v>مناديل معطرة مطبوعة ليالي حليم</v>
          </cell>
          <cell r="D539" t="str">
            <v>مطبوعات (ليالي حليم)</v>
          </cell>
          <cell r="E539" t="str">
            <v>حبة</v>
          </cell>
          <cell r="F539">
            <v>0</v>
          </cell>
          <cell r="G539">
            <v>0</v>
          </cell>
        </row>
        <row r="540">
          <cell r="B540">
            <v>864</v>
          </cell>
          <cell r="C540" t="str">
            <v>كليشة مناديل معطرة ليالي حليم</v>
          </cell>
          <cell r="D540" t="str">
            <v>مطبوعات (ليالي حليم)</v>
          </cell>
          <cell r="E540" t="str">
            <v>حبة</v>
          </cell>
          <cell r="F540">
            <v>0</v>
          </cell>
          <cell r="G540">
            <v>0</v>
          </cell>
        </row>
        <row r="541">
          <cell r="B541">
            <v>731</v>
          </cell>
          <cell r="C541" t="str">
            <v>أكياس نفايات 20 - باك ستريت</v>
          </cell>
          <cell r="D541" t="str">
            <v>تعبئة و تغليف (باك ستريت)</v>
          </cell>
          <cell r="E541" t="str">
            <v>كيلو</v>
          </cell>
          <cell r="F541" t="str">
            <v>الظاهرى</v>
          </cell>
          <cell r="G541">
            <v>0</v>
          </cell>
        </row>
        <row r="542">
          <cell r="B542">
            <v>884</v>
          </cell>
          <cell r="C542" t="str">
            <v>سكر مكعبات ابيض</v>
          </cell>
          <cell r="D542" t="str">
            <v>مواد غذائية (ليالي حليم)</v>
          </cell>
          <cell r="E542" t="str">
            <v>بكت</v>
          </cell>
          <cell r="F542" t="str">
            <v>مشتريات مباشرة</v>
          </cell>
          <cell r="G542">
            <v>11.249974137931035</v>
          </cell>
        </row>
        <row r="543">
          <cell r="B543">
            <v>886</v>
          </cell>
          <cell r="C543" t="str">
            <v>شاي Ahmed Tea</v>
          </cell>
          <cell r="D543" t="str">
            <v>مواد غذائية (ليالي حليم)</v>
          </cell>
          <cell r="E543" t="str">
            <v>حبة</v>
          </cell>
          <cell r="F543" t="str">
            <v>مشتريات مباشرة</v>
          </cell>
          <cell r="G543">
            <v>0.15999949999999999</v>
          </cell>
        </row>
        <row r="544">
          <cell r="B544">
            <v>869</v>
          </cell>
          <cell r="C544" t="str">
            <v>مياة نوفا</v>
          </cell>
          <cell r="D544" t="str">
            <v>مواد غذائية (ليالي حليم)</v>
          </cell>
          <cell r="E544" t="str">
            <v>لتر</v>
          </cell>
          <cell r="F544" t="str">
            <v>مشتريات مباشرة</v>
          </cell>
          <cell r="G544">
            <v>0.63789546807896835</v>
          </cell>
        </row>
        <row r="545">
          <cell r="B545">
            <v>874</v>
          </cell>
          <cell r="C545" t="str">
            <v>سفن اب علب</v>
          </cell>
          <cell r="D545" t="str">
            <v>المشروبات (ليالي حليم)</v>
          </cell>
          <cell r="E545" t="str">
            <v>حبة</v>
          </cell>
          <cell r="F545" t="str">
            <v>مشتريات مباشرة</v>
          </cell>
          <cell r="G545">
            <v>2.7740896028571429</v>
          </cell>
        </row>
        <row r="546">
          <cell r="B546">
            <v>866</v>
          </cell>
          <cell r="C546" t="str">
            <v>مواد غذائية ليالي حليم</v>
          </cell>
          <cell r="D546" t="str">
            <v>مواد غذائية (ليالي حليم)</v>
          </cell>
          <cell r="E546" t="str">
            <v>حبة</v>
          </cell>
          <cell r="F546" t="str">
            <v>مشتريات مباشرة</v>
          </cell>
          <cell r="G546">
            <v>9.9590000000000014</v>
          </cell>
        </row>
        <row r="547">
          <cell r="B547">
            <v>872</v>
          </cell>
          <cell r="C547" t="str">
            <v>حبق مجفف</v>
          </cell>
          <cell r="D547" t="str">
            <v>مواد غذائية (ليالي حليم)</v>
          </cell>
          <cell r="E547" t="str">
            <v>كيلو</v>
          </cell>
          <cell r="F547" t="str">
            <v>مشتريات مباشرة</v>
          </cell>
          <cell r="G547">
            <v>311.53772019230769</v>
          </cell>
        </row>
        <row r="548">
          <cell r="B548">
            <v>870</v>
          </cell>
          <cell r="C548" t="str">
            <v>حليب طازج نادك</v>
          </cell>
          <cell r="D548" t="str">
            <v>مواد غذائية (ليالي حليم)</v>
          </cell>
          <cell r="E548" t="str">
            <v>لتر</v>
          </cell>
          <cell r="F548" t="str">
            <v>مشتريات مباشرة</v>
          </cell>
          <cell r="G548">
            <v>5.0422488175675682</v>
          </cell>
        </row>
        <row r="549">
          <cell r="B549">
            <v>534</v>
          </cell>
          <cell r="C549" t="str">
            <v>جبنة بوك كريمي</v>
          </cell>
          <cell r="D549" t="str">
            <v>مواد غذائية (ليالي حليم)</v>
          </cell>
          <cell r="E549" t="str">
            <v>كيلو</v>
          </cell>
          <cell r="F549" t="str">
            <v>مشتريات مباشرة</v>
          </cell>
          <cell r="G549">
            <v>19.8996</v>
          </cell>
        </row>
        <row r="550">
          <cell r="B550">
            <v>889</v>
          </cell>
          <cell r="C550" t="str">
            <v>معسل كوكتيل250 جرام</v>
          </cell>
          <cell r="D550" t="str">
            <v>الشيشة</v>
          </cell>
          <cell r="E550" t="str">
            <v>بكت</v>
          </cell>
          <cell r="F550" t="str">
            <v>مشتريات مباشرة</v>
          </cell>
          <cell r="G550">
            <v>70</v>
          </cell>
        </row>
        <row r="551">
          <cell r="B551">
            <v>891</v>
          </cell>
          <cell r="C551" t="str">
            <v>مكسرات موالح</v>
          </cell>
          <cell r="D551" t="str">
            <v>مواد غذائية (ليالي حليم)</v>
          </cell>
          <cell r="E551" t="str">
            <v>كيلو</v>
          </cell>
          <cell r="F551" t="str">
            <v>مشتريات مباشرة</v>
          </cell>
          <cell r="G551">
            <v>45.052778506588574</v>
          </cell>
        </row>
        <row r="552">
          <cell r="B552">
            <v>896</v>
          </cell>
          <cell r="C552" t="str">
            <v>شيدر احمر</v>
          </cell>
          <cell r="D552" t="str">
            <v>مواد غذائية (ليالي حليم)</v>
          </cell>
          <cell r="E552" t="str">
            <v>كيلو</v>
          </cell>
          <cell r="F552" t="str">
            <v>مشتريات مباشرة</v>
          </cell>
          <cell r="G552">
            <v>52.282202172303137</v>
          </cell>
        </row>
        <row r="553">
          <cell r="B553">
            <v>892</v>
          </cell>
          <cell r="C553" t="str">
            <v>مكسرات يابانية</v>
          </cell>
          <cell r="D553" t="str">
            <v>مواد غذائية (ليالي حليم)</v>
          </cell>
          <cell r="E553" t="str">
            <v>كيلو</v>
          </cell>
          <cell r="F553" t="str">
            <v>مشتريات مباشرة</v>
          </cell>
          <cell r="G553">
            <v>20.684638758437124</v>
          </cell>
        </row>
        <row r="554">
          <cell r="B554">
            <v>893</v>
          </cell>
          <cell r="C554" t="str">
            <v>اكواب ورقية 8 اونز</v>
          </cell>
          <cell r="D554" t="str">
            <v>تعبئة و تغليف (ليالي حليم)</v>
          </cell>
          <cell r="E554" t="str">
            <v>حبة</v>
          </cell>
          <cell r="F554" t="str">
            <v>واد العطاء</v>
          </cell>
          <cell r="G554">
            <v>0.15639999999999998</v>
          </cell>
        </row>
        <row r="555">
          <cell r="B555">
            <v>894</v>
          </cell>
          <cell r="C555" t="str">
            <v>اكواب ورقية 4 اونز</v>
          </cell>
          <cell r="D555" t="str">
            <v>تعبئة و تغليف (ليالي حليم)</v>
          </cell>
          <cell r="E555" t="str">
            <v>حبة</v>
          </cell>
          <cell r="F555" t="str">
            <v>واد العطاء</v>
          </cell>
          <cell r="G555">
            <v>0.1265</v>
          </cell>
        </row>
        <row r="556">
          <cell r="B556">
            <v>895</v>
          </cell>
          <cell r="C556" t="str">
            <v>غطاء اكواب 8 اونز</v>
          </cell>
          <cell r="D556" t="str">
            <v>تعبئة و تغليف (ليالي حليم)</v>
          </cell>
          <cell r="E556" t="str">
            <v>حبة</v>
          </cell>
          <cell r="F556" t="str">
            <v>واد العطاء</v>
          </cell>
          <cell r="G556">
            <v>5.5200000000000006E-2</v>
          </cell>
        </row>
        <row r="557">
          <cell r="B557">
            <v>890</v>
          </cell>
          <cell r="C557" t="str">
            <v>جبنة كيري مطبوخة</v>
          </cell>
          <cell r="D557" t="str">
            <v>مواد غذائية (ليالي حليم)</v>
          </cell>
          <cell r="E557" t="str">
            <v>كيلو</v>
          </cell>
          <cell r="F557" t="str">
            <v>مشتريات مباشرة</v>
          </cell>
          <cell r="G557">
            <v>19.899657138571428</v>
          </cell>
        </row>
        <row r="558">
          <cell r="B558">
            <v>898</v>
          </cell>
          <cell r="C558" t="str">
            <v>بن امريكي اسبرسو</v>
          </cell>
          <cell r="D558" t="str">
            <v>مواد غذائية (ليالي حليم)</v>
          </cell>
          <cell r="E558" t="str">
            <v>كيلو</v>
          </cell>
          <cell r="F558" t="str">
            <v>مشتريات مباشرة</v>
          </cell>
          <cell r="G558">
            <v>83.375</v>
          </cell>
        </row>
        <row r="559">
          <cell r="B559">
            <v>396</v>
          </cell>
          <cell r="C559" t="str">
            <v>لي شيشة زجاج ملون</v>
          </cell>
          <cell r="D559" t="str">
            <v>الشيشة</v>
          </cell>
          <cell r="E559" t="str">
            <v>حبة</v>
          </cell>
          <cell r="F559" t="str">
            <v>مشتريات مباشرة</v>
          </cell>
          <cell r="G559">
            <v>1.3999992474999998</v>
          </cell>
        </row>
        <row r="560">
          <cell r="B560">
            <v>887</v>
          </cell>
          <cell r="C560" t="str">
            <v>كرانشي شيكولاته كيك</v>
          </cell>
          <cell r="D560" t="str">
            <v>مواد غذائية (ليالي حليم)</v>
          </cell>
          <cell r="E560" t="str">
            <v>حبة</v>
          </cell>
          <cell r="F560" t="str">
            <v>انس غالب - جاناش</v>
          </cell>
          <cell r="G560">
            <v>18.974999999999998</v>
          </cell>
        </row>
        <row r="561">
          <cell r="B561">
            <v>899</v>
          </cell>
          <cell r="C561" t="str">
            <v>معسل مستكة نعناع 250 جرام</v>
          </cell>
          <cell r="D561" t="str">
            <v>الشيشة</v>
          </cell>
          <cell r="E561" t="str">
            <v>بكت</v>
          </cell>
          <cell r="F561" t="str">
            <v>بيت النخلتين للمعسلات</v>
          </cell>
          <cell r="G561">
            <v>63.750249999999994</v>
          </cell>
        </row>
        <row r="562">
          <cell r="B562">
            <v>897</v>
          </cell>
          <cell r="C562" t="str">
            <v>حبق فريش</v>
          </cell>
          <cell r="D562" t="str">
            <v>مواد غذائية (ليالي حليم)</v>
          </cell>
          <cell r="E562" t="str">
            <v>كيلو</v>
          </cell>
          <cell r="F562" t="str">
            <v>مشتريات مباشرة</v>
          </cell>
          <cell r="G562">
            <v>4.4695</v>
          </cell>
        </row>
        <row r="563">
          <cell r="B563">
            <v>900</v>
          </cell>
          <cell r="C563" t="str">
            <v>تونة</v>
          </cell>
          <cell r="D563" t="str">
            <v>مواد غذائية (ليالي حليم)</v>
          </cell>
          <cell r="E563" t="str">
            <v>كيلو</v>
          </cell>
          <cell r="F563" t="str">
            <v>مشتريات مباشرة</v>
          </cell>
          <cell r="G563">
            <v>57.169748406374509</v>
          </cell>
        </row>
        <row r="564">
          <cell r="B564">
            <v>901</v>
          </cell>
          <cell r="C564" t="str">
            <v>مكعب اشعال</v>
          </cell>
          <cell r="D564" t="str">
            <v>أدوات تشغيل (ليالي حليم)</v>
          </cell>
          <cell r="E564" t="str">
            <v>حبة</v>
          </cell>
          <cell r="F564" t="str">
            <v>مشتريات مباشرة</v>
          </cell>
          <cell r="G564">
            <v>0.4577</v>
          </cell>
        </row>
        <row r="565">
          <cell r="B565">
            <v>871</v>
          </cell>
          <cell r="C565" t="str">
            <v>بلو بيف</v>
          </cell>
          <cell r="D565" t="str">
            <v>مواد غذائية (ليالي حليم)</v>
          </cell>
          <cell r="E565" t="str">
            <v>كيلو</v>
          </cell>
          <cell r="F565" t="str">
            <v>فريشلي</v>
          </cell>
          <cell r="G565">
            <v>39.461100000000002</v>
          </cell>
        </row>
        <row r="566">
          <cell r="B566">
            <v>877</v>
          </cell>
          <cell r="C566" t="str">
            <v>سكر ابيض اظرف</v>
          </cell>
          <cell r="D566" t="str">
            <v>مواد غذائية (ليالي حليم)</v>
          </cell>
          <cell r="E566" t="str">
            <v>حبة</v>
          </cell>
          <cell r="F566" t="str">
            <v>مصنع السكر الدعزاز</v>
          </cell>
          <cell r="G566">
            <v>4.0250000000000001E-2</v>
          </cell>
        </row>
        <row r="567">
          <cell r="B567">
            <v>902</v>
          </cell>
          <cell r="C567" t="str">
            <v>غطاء 12اونز</v>
          </cell>
          <cell r="D567" t="str">
            <v>تعبئة و تغليف (ليالي حليم)</v>
          </cell>
          <cell r="E567" t="str">
            <v>حبة</v>
          </cell>
          <cell r="F567" t="str">
            <v>واد العطاء</v>
          </cell>
          <cell r="G567">
            <v>6.3250000000000001E-2</v>
          </cell>
        </row>
        <row r="568">
          <cell r="B568">
            <v>875</v>
          </cell>
          <cell r="C568" t="str">
            <v>بيبسي علب</v>
          </cell>
          <cell r="D568" t="str">
            <v>المشروبات (ليالي حليم)</v>
          </cell>
          <cell r="E568" t="str">
            <v>حبة</v>
          </cell>
          <cell r="F568" t="str">
            <v>الشرق الأوسط - بيبسي</v>
          </cell>
          <cell r="G568">
            <v>2.7877916704999999</v>
          </cell>
        </row>
        <row r="569">
          <cell r="B569">
            <v>873</v>
          </cell>
          <cell r="C569" t="str">
            <v>بيبسي دايت علب</v>
          </cell>
          <cell r="D569" t="str">
            <v>المشروبات (ليالي حليم)</v>
          </cell>
          <cell r="E569" t="str">
            <v>حبة</v>
          </cell>
          <cell r="F569" t="str">
            <v>الشرق الأوسط - بيبسي</v>
          </cell>
          <cell r="G569">
            <v>2.4998125</v>
          </cell>
        </row>
        <row r="570">
          <cell r="B570">
            <v>903</v>
          </cell>
          <cell r="C570" t="str">
            <v>عصير تفاح الربيع</v>
          </cell>
          <cell r="D570" t="str">
            <v>المشروبات (ليالي حليم)</v>
          </cell>
          <cell r="E570" t="str">
            <v>لتر</v>
          </cell>
          <cell r="F570" t="str">
            <v>مشتريات مباشرة</v>
          </cell>
          <cell r="G570">
            <v>6.9989000000000008</v>
          </cell>
        </row>
        <row r="571">
          <cell r="B571">
            <v>888</v>
          </cell>
          <cell r="C571" t="str">
            <v>مصاص شاليموه شفاف مغلف</v>
          </cell>
          <cell r="D571" t="str">
            <v>تعبئة و تغليف (ليالي حليم)</v>
          </cell>
          <cell r="E571" t="str">
            <v>شدة</v>
          </cell>
          <cell r="F571" t="str">
            <v>واد العطاء</v>
          </cell>
          <cell r="G571">
            <v>2.5874999999999999</v>
          </cell>
        </row>
        <row r="572">
          <cell r="B572">
            <v>906</v>
          </cell>
          <cell r="C572" t="str">
            <v>شاي الربيع فرط</v>
          </cell>
          <cell r="D572" t="str">
            <v>مواد غذائية (ليالي حليم)</v>
          </cell>
          <cell r="E572" t="str">
            <v>كيلو</v>
          </cell>
          <cell r="F572" t="str">
            <v>مشتريات مباشرة</v>
          </cell>
          <cell r="G572">
            <v>38.029710845575217</v>
          </cell>
        </row>
        <row r="573">
          <cell r="B573">
            <v>868</v>
          </cell>
          <cell r="C573" t="str">
            <v>ملاعق حلا صغيرة</v>
          </cell>
          <cell r="D573" t="str">
            <v>تعبئة و تغليف (ليالي حليم)</v>
          </cell>
          <cell r="E573" t="str">
            <v>حبة</v>
          </cell>
          <cell r="F573" t="str">
            <v>واد العطاء</v>
          </cell>
          <cell r="G573">
            <v>0.10349999999999999</v>
          </cell>
        </row>
        <row r="574">
          <cell r="B574">
            <v>876</v>
          </cell>
          <cell r="C574" t="str">
            <v>دبس فلفل</v>
          </cell>
          <cell r="D574" t="str">
            <v>مواد غذائية (ليالي حليم)</v>
          </cell>
          <cell r="E574" t="str">
            <v>كيلو</v>
          </cell>
          <cell r="F574" t="str">
            <v>مشتريات مباشرة</v>
          </cell>
          <cell r="G574">
            <v>30.605284545454548</v>
          </cell>
        </row>
        <row r="575">
          <cell r="B575">
            <v>878</v>
          </cell>
          <cell r="C575" t="str">
            <v>زنجبيل خيط</v>
          </cell>
          <cell r="D575" t="str">
            <v>مواد غذائية (ليالي حليم)</v>
          </cell>
          <cell r="E575" t="str">
            <v>حبة</v>
          </cell>
          <cell r="F575" t="str">
            <v>مشتريات مباشرة</v>
          </cell>
          <cell r="G575">
            <v>0.52440000000000009</v>
          </cell>
        </row>
        <row r="576">
          <cell r="B576">
            <v>905</v>
          </cell>
          <cell r="C576" t="str">
            <v>ليز فلفل حار 21 جرام</v>
          </cell>
          <cell r="D576" t="str">
            <v>دعايا وتسويق</v>
          </cell>
          <cell r="E576" t="str">
            <v>حبة</v>
          </cell>
          <cell r="F576" t="str">
            <v>بيبسيكو ليز</v>
          </cell>
          <cell r="G576">
            <v>1.1996964335000002</v>
          </cell>
        </row>
        <row r="577">
          <cell r="B577">
            <v>908</v>
          </cell>
          <cell r="C577" t="str">
            <v>كيكة باردة بالمانجو</v>
          </cell>
          <cell r="D577" t="str">
            <v>مواد غذائية (ليالي حليم)</v>
          </cell>
          <cell r="E577" t="str">
            <v>حبة</v>
          </cell>
          <cell r="F577" t="str">
            <v>انس غالب - جاناش</v>
          </cell>
          <cell r="G577">
            <v>21.5625</v>
          </cell>
        </row>
        <row r="578">
          <cell r="B578">
            <v>909</v>
          </cell>
          <cell r="C578" t="str">
            <v>عصير الربيع اناناس</v>
          </cell>
          <cell r="D578" t="str">
            <v>مواد غذائية (ليالي حليم)</v>
          </cell>
          <cell r="E578" t="str">
            <v>لتر</v>
          </cell>
          <cell r="F578" t="str">
            <v>مشتريات مباشرة</v>
          </cell>
          <cell r="G578">
            <v>6.9897</v>
          </cell>
        </row>
        <row r="579">
          <cell r="B579">
            <v>879</v>
          </cell>
          <cell r="C579" t="str">
            <v>روبيان بقسماط مجمد</v>
          </cell>
          <cell r="D579" t="str">
            <v>مواد غذائية (ليالي حليم)</v>
          </cell>
          <cell r="E579" t="str">
            <v>كيلو</v>
          </cell>
          <cell r="F579" t="str">
            <v>امريكانا</v>
          </cell>
          <cell r="G579">
            <v>55.774999999999999</v>
          </cell>
        </row>
        <row r="580">
          <cell r="B580">
            <v>910</v>
          </cell>
          <cell r="C580" t="str">
            <v>علب حلا مربع شفاف 18</v>
          </cell>
          <cell r="D580" t="str">
            <v>تعبئة و تغليف (ليالي حليم)</v>
          </cell>
          <cell r="E580" t="str">
            <v>حبة</v>
          </cell>
          <cell r="F580" t="str">
            <v>مشتريات مباشرة</v>
          </cell>
          <cell r="G580">
            <v>0.58333299999999999</v>
          </cell>
        </row>
        <row r="581">
          <cell r="B581">
            <v>912</v>
          </cell>
          <cell r="C581" t="str">
            <v>بودرة تنظيف لماكينة القهوة</v>
          </cell>
          <cell r="D581" t="str">
            <v>منظفات</v>
          </cell>
          <cell r="E581" t="str">
            <v>حبة</v>
          </cell>
          <cell r="F581" t="str">
            <v>محامص البلد القديمة</v>
          </cell>
          <cell r="G581">
            <v>72.45</v>
          </cell>
        </row>
        <row r="582">
          <cell r="B582">
            <v>915</v>
          </cell>
          <cell r="C582" t="str">
            <v>مجموعة ياميش رمضان</v>
          </cell>
          <cell r="D582" t="str">
            <v>مواد غذائية (طحينة)</v>
          </cell>
          <cell r="E582" t="str">
            <v>عدد</v>
          </cell>
          <cell r="F582" t="str">
            <v>مشتريات مباشرة</v>
          </cell>
          <cell r="G582">
            <v>0</v>
          </cell>
        </row>
        <row r="583">
          <cell r="B583">
            <v>914</v>
          </cell>
          <cell r="C583" t="str">
            <v>فول مدمس</v>
          </cell>
          <cell r="D583" t="str">
            <v>وجبات اسطف</v>
          </cell>
          <cell r="E583" t="str">
            <v>حبة</v>
          </cell>
          <cell r="F583" t="str">
            <v>مشتريات مباشرة</v>
          </cell>
          <cell r="G583">
            <v>1.39</v>
          </cell>
        </row>
        <row r="584">
          <cell r="B584">
            <v>649</v>
          </cell>
          <cell r="C584" t="str">
            <v>لبن طازج صغير180 مل</v>
          </cell>
          <cell r="D584" t="str">
            <v>دعايا وتسويق</v>
          </cell>
          <cell r="E584" t="str">
            <v>لتر</v>
          </cell>
          <cell r="F584" t="str">
            <v>المراعي</v>
          </cell>
          <cell r="G584">
            <v>7.9859999999999998</v>
          </cell>
        </row>
        <row r="585">
          <cell r="B585">
            <v>541</v>
          </cell>
          <cell r="C585" t="str">
            <v>كريمة خفق هوبلا</v>
          </cell>
          <cell r="D585" t="str">
            <v>مواد غذائية (المشربية)</v>
          </cell>
          <cell r="E585" t="str">
            <v>لتر</v>
          </cell>
          <cell r="F585" t="str">
            <v>مشتريات مباشرة</v>
          </cell>
          <cell r="G585">
            <v>12.65</v>
          </cell>
        </row>
        <row r="586">
          <cell r="B586">
            <v>272</v>
          </cell>
          <cell r="C586" t="str">
            <v>تيشيرت أسود - المشربية</v>
          </cell>
          <cell r="D586" t="str">
            <v>يونيفورم</v>
          </cell>
          <cell r="E586" t="str">
            <v>حبة</v>
          </cell>
          <cell r="G586">
            <v>34.5</v>
          </cell>
        </row>
      </sheetData>
      <sheetData sheetId="1">
        <row r="7">
          <cell r="B7">
            <v>60</v>
          </cell>
          <cell r="C7" t="str">
            <v>سماق</v>
          </cell>
          <cell r="D7" t="str">
            <v>البهارات</v>
          </cell>
          <cell r="E7" t="str">
            <v>كيلو</v>
          </cell>
          <cell r="F7" t="str">
            <v>مشتريات مباشرة</v>
          </cell>
          <cell r="G7">
            <v>8.0001666666666669</v>
          </cell>
          <cell r="H7">
            <v>8.0020832949999985</v>
          </cell>
        </row>
        <row r="8">
          <cell r="B8">
            <v>61</v>
          </cell>
          <cell r="C8" t="str">
            <v>زعتر مطحون</v>
          </cell>
          <cell r="D8" t="str">
            <v>البهارات</v>
          </cell>
          <cell r="E8" t="str">
            <v>كيلو</v>
          </cell>
          <cell r="F8" t="str">
            <v>مشتريات مباشرة</v>
          </cell>
          <cell r="G8">
            <v>29.999590000000001</v>
          </cell>
          <cell r="H8">
            <v>30.003499999999999</v>
          </cell>
        </row>
        <row r="9">
          <cell r="B9">
            <v>64</v>
          </cell>
          <cell r="C9" t="str">
            <v>حبة البركة</v>
          </cell>
          <cell r="D9" t="str">
            <v>البهارات</v>
          </cell>
          <cell r="E9" t="str">
            <v>كيلو</v>
          </cell>
          <cell r="F9" t="str">
            <v>مشتريات مباشرة</v>
          </cell>
          <cell r="G9">
            <v>15.500035416666668</v>
          </cell>
          <cell r="H9">
            <v>15.500596999999999</v>
          </cell>
        </row>
        <row r="10">
          <cell r="B10">
            <v>65</v>
          </cell>
          <cell r="C10" t="str">
            <v>سمسم</v>
          </cell>
          <cell r="D10" t="str">
            <v>البهارات</v>
          </cell>
          <cell r="E10" t="str">
            <v>كيلو</v>
          </cell>
          <cell r="F10" t="str">
            <v>مشتريات مباشرة</v>
          </cell>
          <cell r="G10">
            <v>12.999700000000001</v>
          </cell>
          <cell r="H10">
            <v>13.0020518</v>
          </cell>
        </row>
        <row r="11">
          <cell r="B11">
            <v>53</v>
          </cell>
          <cell r="C11" t="str">
            <v>فلفل أسود مطحون</v>
          </cell>
          <cell r="D11" t="str">
            <v>البهارات</v>
          </cell>
          <cell r="E11" t="str">
            <v>كيلو</v>
          </cell>
          <cell r="F11" t="str">
            <v>مشتريات مباشرة</v>
          </cell>
          <cell r="G11">
            <v>35.999139999999997</v>
          </cell>
          <cell r="H11">
            <v>35.999600000000001</v>
          </cell>
        </row>
        <row r="12">
          <cell r="B12">
            <v>54</v>
          </cell>
          <cell r="C12" t="str">
            <v>كمون مطحون</v>
          </cell>
          <cell r="D12" t="str">
            <v>البهارات</v>
          </cell>
          <cell r="E12" t="str">
            <v>كيلو</v>
          </cell>
          <cell r="F12" t="str">
            <v>الجوهرة</v>
          </cell>
          <cell r="G12">
            <v>20</v>
          </cell>
          <cell r="H12" t="str">
            <v/>
          </cell>
        </row>
        <row r="13">
          <cell r="B13">
            <v>55</v>
          </cell>
          <cell r="C13" t="str">
            <v>كزبرة مطحون</v>
          </cell>
          <cell r="D13" t="str">
            <v>البهارات</v>
          </cell>
          <cell r="E13" t="str">
            <v>كيلو</v>
          </cell>
          <cell r="F13" t="str">
            <v>الجوهرة</v>
          </cell>
          <cell r="G13">
            <v>13.04</v>
          </cell>
          <cell r="H13" t="str">
            <v/>
          </cell>
        </row>
        <row r="14">
          <cell r="B14">
            <v>63</v>
          </cell>
          <cell r="C14" t="str">
            <v>شطة أحمر أبو نمرين</v>
          </cell>
          <cell r="D14" t="str">
            <v>البهارات</v>
          </cell>
          <cell r="E14" t="str">
            <v>كيلو</v>
          </cell>
          <cell r="F14" t="str">
            <v>مشتريات مباشرة</v>
          </cell>
          <cell r="G14">
            <v>14.995999999999999</v>
          </cell>
          <cell r="H14" t="str">
            <v/>
          </cell>
        </row>
        <row r="15">
          <cell r="B15">
            <v>56</v>
          </cell>
          <cell r="C15" t="str">
            <v>جوزة الطيب مطحون</v>
          </cell>
          <cell r="D15" t="str">
            <v>البهارات</v>
          </cell>
          <cell r="E15" t="str">
            <v>كيلو</v>
          </cell>
          <cell r="F15" t="str">
            <v>مشتريات مباشرة</v>
          </cell>
          <cell r="G15">
            <v>145</v>
          </cell>
          <cell r="H15" t="str">
            <v/>
          </cell>
        </row>
        <row r="16">
          <cell r="B16">
            <v>58</v>
          </cell>
          <cell r="C16" t="str">
            <v>هيل مطحون</v>
          </cell>
          <cell r="D16" t="str">
            <v>البهارات</v>
          </cell>
          <cell r="E16" t="str">
            <v>كيلو</v>
          </cell>
          <cell r="F16" t="str">
            <v>مشتريات مباشرة</v>
          </cell>
          <cell r="G16">
            <v>130</v>
          </cell>
          <cell r="H16">
            <v>0.98554999999999993</v>
          </cell>
        </row>
        <row r="17">
          <cell r="B17">
            <v>59</v>
          </cell>
          <cell r="C17" t="str">
            <v>قرفة مطحونة</v>
          </cell>
          <cell r="D17" t="str">
            <v>البهارات</v>
          </cell>
          <cell r="E17" t="str">
            <v>كيلو</v>
          </cell>
          <cell r="F17" t="str">
            <v>مشتريات مباشرة</v>
          </cell>
          <cell r="G17">
            <v>24.942</v>
          </cell>
          <cell r="H17" t="str">
            <v/>
          </cell>
        </row>
        <row r="18">
          <cell r="B18">
            <v>152</v>
          </cell>
          <cell r="C18" t="str">
            <v>حلبة</v>
          </cell>
          <cell r="D18" t="str">
            <v>البهارات</v>
          </cell>
          <cell r="E18" t="str">
            <v>كرتونة</v>
          </cell>
          <cell r="F18" t="str">
            <v>مشتريات مباشرة</v>
          </cell>
          <cell r="G18">
            <v>70</v>
          </cell>
          <cell r="H18" t="str">
            <v/>
          </cell>
        </row>
        <row r="19">
          <cell r="B19">
            <v>17</v>
          </cell>
          <cell r="C19" t="str">
            <v>فلفل مجروش (فريشلى)</v>
          </cell>
          <cell r="D19" t="str">
            <v>البهارات</v>
          </cell>
          <cell r="E19" t="str">
            <v>عبوة</v>
          </cell>
          <cell r="F19" t="str">
            <v>تموين الشرق - فريشلي</v>
          </cell>
          <cell r="G19">
            <v>32.582999999999998</v>
          </cell>
          <cell r="H19" t="str">
            <v/>
          </cell>
        </row>
        <row r="20">
          <cell r="B20">
            <v>110</v>
          </cell>
          <cell r="C20" t="str">
            <v>دجاج 1000 جرام</v>
          </cell>
          <cell r="D20" t="str">
            <v>وجبات اسطف</v>
          </cell>
          <cell r="E20" t="str">
            <v>حبة</v>
          </cell>
          <cell r="F20" t="str">
            <v>مشتريات مباشرة</v>
          </cell>
          <cell r="G20">
            <v>11.66</v>
          </cell>
          <cell r="H20">
            <v>15.387</v>
          </cell>
        </row>
        <row r="21">
          <cell r="B21">
            <v>580</v>
          </cell>
          <cell r="C21" t="str">
            <v>بزاليا مجمدة 20*400 جرام</v>
          </cell>
          <cell r="D21" t="str">
            <v>وجبات اسطف</v>
          </cell>
          <cell r="E21" t="str">
            <v>كيلو</v>
          </cell>
          <cell r="F21" t="str">
            <v>مشتريات مباشرة</v>
          </cell>
          <cell r="G21">
            <v>6.6760662500000008</v>
          </cell>
          <cell r="H21">
            <v>5.6541666666666659</v>
          </cell>
        </row>
        <row r="22">
          <cell r="B22">
            <v>579</v>
          </cell>
          <cell r="C22" t="str">
            <v>فاصواليا خضراء مجمدة 20*400 جرام</v>
          </cell>
          <cell r="D22" t="str">
            <v>وجبات اسطف</v>
          </cell>
          <cell r="E22" t="str">
            <v>كيلو</v>
          </cell>
          <cell r="F22" t="str">
            <v>فروت مكس</v>
          </cell>
          <cell r="G22">
            <v>8.0500000000000007</v>
          </cell>
          <cell r="H22" t="str">
            <v/>
          </cell>
        </row>
        <row r="23">
          <cell r="B23">
            <v>62</v>
          </cell>
          <cell r="C23" t="str">
            <v>أرز 40 كيلو</v>
          </cell>
          <cell r="D23" t="str">
            <v>وجبات اسطف</v>
          </cell>
          <cell r="E23" t="str">
            <v>شكارة 40 كيلو</v>
          </cell>
          <cell r="F23" t="str">
            <v>الرفادة</v>
          </cell>
          <cell r="G23">
            <v>143.04184210526313</v>
          </cell>
          <cell r="H23">
            <v>148.60555555555555</v>
          </cell>
        </row>
        <row r="24">
          <cell r="B24">
            <v>184</v>
          </cell>
          <cell r="C24" t="str">
            <v>مكرونة</v>
          </cell>
          <cell r="D24" t="str">
            <v>وجبات اسطف</v>
          </cell>
          <cell r="E24" t="str">
            <v>حبة</v>
          </cell>
          <cell r="F24" t="str">
            <v>الرفادة</v>
          </cell>
          <cell r="G24">
            <v>1.3225</v>
          </cell>
          <cell r="H24">
            <v>1.85005</v>
          </cell>
        </row>
        <row r="25">
          <cell r="B25">
            <v>671</v>
          </cell>
          <cell r="C25" t="str">
            <v>ملوخية مجمدة 20*400 جرام</v>
          </cell>
          <cell r="D25" t="str">
            <v>وجبات اسطف</v>
          </cell>
          <cell r="E25" t="str">
            <v>كيلو</v>
          </cell>
          <cell r="F25" t="str">
            <v>المنجم</v>
          </cell>
          <cell r="G25">
            <v>4.6958333333333329</v>
          </cell>
          <cell r="H25">
            <v>6.2368333333333332</v>
          </cell>
        </row>
        <row r="26">
          <cell r="B26">
            <v>672</v>
          </cell>
          <cell r="C26" t="str">
            <v>بامية مجمدة 20*400 جرام</v>
          </cell>
          <cell r="D26" t="str">
            <v>وجبات اسطف</v>
          </cell>
          <cell r="E26" t="str">
            <v>كيلو</v>
          </cell>
          <cell r="F26" t="str">
            <v>المنجم</v>
          </cell>
          <cell r="G26">
            <v>7.0916666666666659</v>
          </cell>
          <cell r="H26">
            <v>5.7250833333333331</v>
          </cell>
        </row>
        <row r="27">
          <cell r="B27">
            <v>481</v>
          </cell>
          <cell r="C27" t="str">
            <v>لحم اسطاف</v>
          </cell>
          <cell r="D27" t="str">
            <v>وجبات اسطف</v>
          </cell>
          <cell r="E27" t="str">
            <v>كيلو</v>
          </cell>
          <cell r="F27" t="str">
            <v>المنجم</v>
          </cell>
          <cell r="G27">
            <v>31.05</v>
          </cell>
          <cell r="H27">
            <v>34.5</v>
          </cell>
        </row>
        <row r="28">
          <cell r="B28">
            <v>8</v>
          </cell>
          <cell r="C28" t="str">
            <v>ليز ملح 14*21جرام</v>
          </cell>
          <cell r="D28" t="str">
            <v>دعايا وتسويق</v>
          </cell>
          <cell r="E28" t="str">
            <v>حبة</v>
          </cell>
          <cell r="F28" t="str">
            <v>شركة بيبسيكو (ليز)</v>
          </cell>
          <cell r="G28">
            <v>1.1996926411538462</v>
          </cell>
          <cell r="H28">
            <v>1.2024318045977012</v>
          </cell>
        </row>
        <row r="29">
          <cell r="B29">
            <v>9</v>
          </cell>
          <cell r="C29" t="str">
            <v>ليز شطة وليمون 14*21جرام</v>
          </cell>
          <cell r="D29" t="str">
            <v>دعايا وتسويق</v>
          </cell>
          <cell r="E29" t="str">
            <v>حبة</v>
          </cell>
          <cell r="F29" t="str">
            <v>شركة بيبسيكو (ليز)</v>
          </cell>
          <cell r="G29">
            <v>0.88</v>
          </cell>
          <cell r="H29" t="str">
            <v/>
          </cell>
        </row>
        <row r="30">
          <cell r="B30">
            <v>14</v>
          </cell>
          <cell r="C30" t="str">
            <v>شوك مغلفة أسود - مطبوع طحينة</v>
          </cell>
          <cell r="D30" t="str">
            <v>دعايا وتسويق</v>
          </cell>
          <cell r="E30" t="str">
            <v>حبة</v>
          </cell>
          <cell r="F30" t="str">
            <v>واد العطاء</v>
          </cell>
          <cell r="G30">
            <v>7.4749999999999997E-2</v>
          </cell>
          <cell r="H30">
            <v>8.7400000000000005E-2</v>
          </cell>
        </row>
        <row r="31">
          <cell r="B31">
            <v>75</v>
          </cell>
          <cell r="C31" t="str">
            <v>علب بطيخ</v>
          </cell>
          <cell r="D31" t="str">
            <v>دعايا وتسويق</v>
          </cell>
          <cell r="E31" t="str">
            <v>حبة</v>
          </cell>
          <cell r="F31" t="str">
            <v>واد العطاء</v>
          </cell>
          <cell r="G31">
            <v>0.11916666666666667</v>
          </cell>
          <cell r="H31">
            <v>0.13459093999999999</v>
          </cell>
        </row>
        <row r="32">
          <cell r="B32">
            <v>19</v>
          </cell>
          <cell r="C32" t="str">
            <v>ملح الحفلات علب</v>
          </cell>
          <cell r="D32" t="str">
            <v>مواد غذائية (طحينة)</v>
          </cell>
          <cell r="E32" t="str">
            <v>كيلو</v>
          </cell>
          <cell r="F32" t="str">
            <v>الجوهرة</v>
          </cell>
          <cell r="G32">
            <v>0.91633466107968109</v>
          </cell>
          <cell r="H32">
            <v>1.0074726417910447</v>
          </cell>
        </row>
        <row r="33">
          <cell r="B33">
            <v>45</v>
          </cell>
          <cell r="C33" t="str">
            <v>خميرة برجمان 500 جرام</v>
          </cell>
          <cell r="D33" t="str">
            <v>مواد غذائية (طحينة)</v>
          </cell>
          <cell r="E33" t="str">
            <v>علبة</v>
          </cell>
          <cell r="F33" t="str">
            <v>السنبلة</v>
          </cell>
          <cell r="G33">
            <v>8.9124999999999996</v>
          </cell>
          <cell r="H33">
            <v>8.9124999999999996</v>
          </cell>
        </row>
        <row r="34">
          <cell r="B34">
            <v>25</v>
          </cell>
          <cell r="C34" t="str">
            <v>محسن هاي بور</v>
          </cell>
          <cell r="D34" t="str">
            <v>مواد غذائية (طحينة)</v>
          </cell>
          <cell r="E34" t="str">
            <v>علبة</v>
          </cell>
          <cell r="F34" t="str">
            <v>مشتريات مباشرة</v>
          </cell>
          <cell r="G34">
            <v>59.8</v>
          </cell>
          <cell r="H34" t="str">
            <v/>
          </cell>
        </row>
        <row r="35">
          <cell r="B35">
            <v>605</v>
          </cell>
          <cell r="C35" t="str">
            <v>جبنة رومي</v>
          </cell>
          <cell r="D35" t="str">
            <v>مواد غذائية (طحينة)</v>
          </cell>
          <cell r="E35" t="str">
            <v>كيلو</v>
          </cell>
          <cell r="F35" t="str">
            <v>مشتريات مباشرة</v>
          </cell>
          <cell r="G35">
            <v>41.432778402366871</v>
          </cell>
          <cell r="H35">
            <v>38.696637500000001</v>
          </cell>
        </row>
        <row r="36">
          <cell r="B36">
            <v>609</v>
          </cell>
          <cell r="C36" t="str">
            <v>زيتون أخضر</v>
          </cell>
          <cell r="D36" t="str">
            <v>مواد غذائية (طحينة)</v>
          </cell>
          <cell r="E36" t="str">
            <v>كيلو</v>
          </cell>
          <cell r="F36" t="str">
            <v>مشتريات مباشرة</v>
          </cell>
          <cell r="G36">
            <v>23.776032689655175</v>
          </cell>
          <cell r="H36">
            <v>28.999549999999996</v>
          </cell>
        </row>
        <row r="37">
          <cell r="B37">
            <v>1</v>
          </cell>
          <cell r="C37" t="str">
            <v>طحين كويتي فاخر 2*5كغم</v>
          </cell>
          <cell r="D37" t="str">
            <v>مواد غذائية (طحينة)</v>
          </cell>
          <cell r="E37" t="str">
            <v>كيلو</v>
          </cell>
          <cell r="F37" t="str">
            <v>مسارات الجود</v>
          </cell>
          <cell r="G37">
            <v>3.726</v>
          </cell>
          <cell r="H37">
            <v>4.4704458271604945</v>
          </cell>
        </row>
        <row r="38">
          <cell r="B38">
            <v>23</v>
          </cell>
          <cell r="C38" t="str">
            <v>زيت دوار الشمس*1.5ل</v>
          </cell>
          <cell r="D38" t="str">
            <v>مواد غذائية (طحينة)</v>
          </cell>
          <cell r="E38" t="str">
            <v>لتر</v>
          </cell>
          <cell r="F38" t="str">
            <v>صافولا</v>
          </cell>
          <cell r="G38">
            <v>7.9223319285714293</v>
          </cell>
          <cell r="H38">
            <v>8.4712869411764711</v>
          </cell>
        </row>
        <row r="39">
          <cell r="B39">
            <v>133</v>
          </cell>
          <cell r="C39" t="str">
            <v>خل رنا أسود</v>
          </cell>
          <cell r="D39" t="str">
            <v>مواد غذائية (طحينة)</v>
          </cell>
          <cell r="E39" t="str">
            <v>قارورة</v>
          </cell>
          <cell r="F39" t="str">
            <v>رنا - مجموعة بافرط</v>
          </cell>
          <cell r="G39">
            <v>2.0124999999999997</v>
          </cell>
          <cell r="H39">
            <v>2.1081270999999995</v>
          </cell>
        </row>
        <row r="40">
          <cell r="B40">
            <v>52</v>
          </cell>
          <cell r="C40" t="str">
            <v>خل رنا 30لتر</v>
          </cell>
          <cell r="D40" t="str">
            <v>مواد غذائية (طحينة)</v>
          </cell>
          <cell r="E40" t="str">
            <v>جالون 30 لتر</v>
          </cell>
          <cell r="F40" t="str">
            <v>رنا - مجموعة بافرط</v>
          </cell>
          <cell r="G40">
            <v>53.475000000000001</v>
          </cell>
          <cell r="H40">
            <v>52.071999999999996</v>
          </cell>
        </row>
        <row r="41">
          <cell r="B41">
            <v>361</v>
          </cell>
          <cell r="C41" t="str">
            <v>فراولة مجمدة 1 كجم</v>
          </cell>
          <cell r="D41" t="str">
            <v>مواد غذائية (طحينة)</v>
          </cell>
          <cell r="E41" t="str">
            <v>كيلو</v>
          </cell>
          <cell r="F41" t="str">
            <v>مشتريات مباشرة</v>
          </cell>
          <cell r="G41">
            <v>6.1812500000000004</v>
          </cell>
          <cell r="H41" t="str">
            <v/>
          </cell>
        </row>
        <row r="42">
          <cell r="B42">
            <v>554</v>
          </cell>
          <cell r="C42" t="str">
            <v>دقيق فينه</v>
          </cell>
          <cell r="D42" t="str">
            <v>مواد غذائية (طحينة)</v>
          </cell>
          <cell r="E42" t="str">
            <v>كيلو</v>
          </cell>
          <cell r="F42" t="str">
            <v>المطاحن العربية</v>
          </cell>
          <cell r="G42">
            <v>1.288</v>
          </cell>
          <cell r="H42">
            <v>1.2951369955489616</v>
          </cell>
        </row>
        <row r="43">
          <cell r="B43">
            <v>67</v>
          </cell>
          <cell r="C43" t="str">
            <v>حليب المراعي طويل الأجل 1 لتر</v>
          </cell>
          <cell r="D43" t="str">
            <v>مواد غذائية (طحينة)</v>
          </cell>
          <cell r="E43" t="str">
            <v>لتر</v>
          </cell>
          <cell r="F43" t="str">
            <v>المراعى</v>
          </cell>
          <cell r="G43">
            <v>4.7839999999999998</v>
          </cell>
          <cell r="H43">
            <v>5.6006642857142861</v>
          </cell>
        </row>
        <row r="44">
          <cell r="B44">
            <v>69</v>
          </cell>
          <cell r="C44" t="str">
            <v>حليب المراعي طازج 2 لتر</v>
          </cell>
          <cell r="D44" t="str">
            <v>مواد غذائية (طحينة)</v>
          </cell>
          <cell r="E44" t="str">
            <v>لتر</v>
          </cell>
          <cell r="F44" t="str">
            <v>المراعى</v>
          </cell>
          <cell r="G44">
            <v>5.1873868075801743</v>
          </cell>
          <cell r="H44">
            <v>5.2324999999999999</v>
          </cell>
        </row>
        <row r="45">
          <cell r="B45">
            <v>68</v>
          </cell>
          <cell r="C45" t="str">
            <v>لبن المراعي 2لتر</v>
          </cell>
          <cell r="D45" t="str">
            <v>مواد غذائية (طحينة)</v>
          </cell>
          <cell r="E45" t="str">
            <v>لتر</v>
          </cell>
          <cell r="F45" t="str">
            <v>المراعى</v>
          </cell>
          <cell r="G45">
            <v>5.1795676056338031</v>
          </cell>
          <cell r="H45">
            <v>5.2324999999999999</v>
          </cell>
        </row>
        <row r="46">
          <cell r="B46">
            <v>477</v>
          </cell>
          <cell r="C46" t="str">
            <v>كتشب جالون 5 لتر</v>
          </cell>
          <cell r="D46" t="str">
            <v>مواد غذائية (طحينة)</v>
          </cell>
          <cell r="E46" t="str">
            <v>جالون=5لتر</v>
          </cell>
          <cell r="F46" t="str">
            <v>مشتريات مباشرة</v>
          </cell>
          <cell r="G46">
            <v>0</v>
          </cell>
          <cell r="H46" t="str">
            <v/>
          </cell>
        </row>
        <row r="47">
          <cell r="B47">
            <v>73</v>
          </cell>
          <cell r="C47" t="str">
            <v>طبق بيض</v>
          </cell>
          <cell r="D47" t="str">
            <v>مواد غذائية (طحينة)</v>
          </cell>
          <cell r="E47" t="str">
            <v>طبق</v>
          </cell>
          <cell r="F47" t="str">
            <v>الرفادة</v>
          </cell>
          <cell r="G47">
            <v>19.190653749999999</v>
          </cell>
          <cell r="H47">
            <v>15.205683333333333</v>
          </cell>
        </row>
        <row r="48">
          <cell r="B48">
            <v>57</v>
          </cell>
          <cell r="C48" t="str">
            <v>سكر  50 ك</v>
          </cell>
          <cell r="D48" t="str">
            <v>مواد غذائية (طحينة)</v>
          </cell>
          <cell r="E48" t="str">
            <v>كيلو</v>
          </cell>
          <cell r="F48" t="str">
            <v>الرفادة</v>
          </cell>
          <cell r="G48">
            <v>2.4609999999999999</v>
          </cell>
          <cell r="H48">
            <v>2.4625093750000002</v>
          </cell>
        </row>
        <row r="49">
          <cell r="B49">
            <v>356</v>
          </cell>
          <cell r="C49" t="str">
            <v>أرز مصري</v>
          </cell>
          <cell r="D49" t="str">
            <v>مواد غذائية (طحينة)</v>
          </cell>
          <cell r="E49" t="str">
            <v>كيلو</v>
          </cell>
          <cell r="F49" t="str">
            <v>الرفادة</v>
          </cell>
          <cell r="G49">
            <v>5.456092857142858</v>
          </cell>
          <cell r="H49">
            <v>5.6530019230769231</v>
          </cell>
        </row>
        <row r="50">
          <cell r="B50">
            <v>168</v>
          </cell>
          <cell r="C50" t="str">
            <v>طحينة الجميل تنك *15ك</v>
          </cell>
          <cell r="D50" t="str">
            <v>مواد غذائية (طحينة)</v>
          </cell>
          <cell r="E50" t="str">
            <v>كيلو</v>
          </cell>
          <cell r="F50" t="str">
            <v>الجميل</v>
          </cell>
          <cell r="G50">
            <v>12.65</v>
          </cell>
          <cell r="H50">
            <v>12.65</v>
          </cell>
        </row>
        <row r="51">
          <cell r="B51">
            <v>626</v>
          </cell>
          <cell r="C51" t="str">
            <v>سمنة بلدي 1.600 كيلو جرام</v>
          </cell>
          <cell r="D51" t="str">
            <v>مواد غذائية (طحينة)</v>
          </cell>
          <cell r="E51" t="str">
            <v>كيلو</v>
          </cell>
          <cell r="F51" t="str">
            <v>المراعى</v>
          </cell>
          <cell r="G51">
            <v>53.194399999999995</v>
          </cell>
          <cell r="H51">
            <v>58.303926666666662</v>
          </cell>
        </row>
        <row r="52">
          <cell r="B52">
            <v>623</v>
          </cell>
          <cell r="C52" t="str">
            <v>مكرونة اسباجيتي</v>
          </cell>
          <cell r="D52" t="str">
            <v>مواد غذائية (طحينة)</v>
          </cell>
          <cell r="E52" t="str">
            <v>كيلو</v>
          </cell>
          <cell r="F52" t="str">
            <v>مشتريات مباشرة</v>
          </cell>
          <cell r="G52">
            <v>11.111300000000002</v>
          </cell>
          <cell r="H52" t="str">
            <v/>
          </cell>
        </row>
        <row r="53">
          <cell r="B53">
            <v>692</v>
          </cell>
          <cell r="C53" t="str">
            <v>لحم تشك</v>
          </cell>
          <cell r="D53" t="str">
            <v>لحوم باك ستريت</v>
          </cell>
          <cell r="E53" t="str">
            <v>كيلو</v>
          </cell>
          <cell r="F53" t="str">
            <v>اللحمة الذهبية</v>
          </cell>
          <cell r="G53">
            <v>54.05</v>
          </cell>
          <cell r="H53" t="str">
            <v/>
          </cell>
        </row>
        <row r="54">
          <cell r="B54">
            <v>693</v>
          </cell>
          <cell r="C54" t="str">
            <v>لحم برسكت</v>
          </cell>
          <cell r="D54" t="str">
            <v>لحوم باك ستريت</v>
          </cell>
          <cell r="E54" t="str">
            <v>كيلو</v>
          </cell>
          <cell r="F54" t="str">
            <v>اللحمة الذهبية</v>
          </cell>
          <cell r="G54">
            <v>52.9</v>
          </cell>
          <cell r="H54" t="str">
            <v/>
          </cell>
        </row>
        <row r="55">
          <cell r="B55">
            <v>699</v>
          </cell>
          <cell r="C55" t="str">
            <v>لحم اضلاع</v>
          </cell>
          <cell r="D55" t="str">
            <v>لحوم باك ستريت</v>
          </cell>
          <cell r="E55" t="str">
            <v>كيلو</v>
          </cell>
          <cell r="F55" t="str">
            <v>اللحمة الذهبية</v>
          </cell>
          <cell r="G55">
            <v>0</v>
          </cell>
          <cell r="H55" t="str">
            <v/>
          </cell>
        </row>
        <row r="56">
          <cell r="B56">
            <v>848</v>
          </cell>
          <cell r="C56" t="str">
            <v>ريب أي ستيك</v>
          </cell>
          <cell r="D56" t="str">
            <v>لحوم باك ستريت</v>
          </cell>
          <cell r="E56" t="str">
            <v>كيلو</v>
          </cell>
          <cell r="F56" t="str">
            <v>اللحمة الذهبية</v>
          </cell>
          <cell r="G56">
            <v>0</v>
          </cell>
          <cell r="H56" t="str">
            <v/>
          </cell>
        </row>
        <row r="57">
          <cell r="B57">
            <v>695</v>
          </cell>
          <cell r="C57" t="str">
            <v>تندر لوين ستيك</v>
          </cell>
          <cell r="D57" t="str">
            <v>لحوم باك ستريت</v>
          </cell>
          <cell r="E57" t="str">
            <v>كيلو</v>
          </cell>
          <cell r="F57" t="str">
            <v>اللحمة الذهبية</v>
          </cell>
          <cell r="G57">
            <v>0</v>
          </cell>
          <cell r="H57" t="str">
            <v/>
          </cell>
        </row>
        <row r="58">
          <cell r="B58">
            <v>710</v>
          </cell>
          <cell r="C58" t="str">
            <v>صدور دجاج خام كرتونة * 10 كيلو</v>
          </cell>
          <cell r="D58" t="str">
            <v>لحوم باك ستريت</v>
          </cell>
          <cell r="E58" t="str">
            <v>كيلو</v>
          </cell>
          <cell r="F58" t="str">
            <v>امريكانا</v>
          </cell>
          <cell r="G58">
            <v>23.23</v>
          </cell>
          <cell r="H58">
            <v>23.23</v>
          </cell>
        </row>
        <row r="59">
          <cell r="B59">
            <v>655</v>
          </cell>
          <cell r="C59" t="str">
            <v>اجنحة دجاج</v>
          </cell>
          <cell r="D59" t="str">
            <v>لحوم باك ستريت</v>
          </cell>
          <cell r="E59" t="str">
            <v>كيلو</v>
          </cell>
          <cell r="F59" t="str">
            <v>مشتريات مباشرة</v>
          </cell>
          <cell r="G59">
            <v>0</v>
          </cell>
          <cell r="H59" t="str">
            <v/>
          </cell>
        </row>
        <row r="60">
          <cell r="B60">
            <v>668</v>
          </cell>
          <cell r="C60" t="str">
            <v xml:space="preserve">بيبي تشكن </v>
          </cell>
          <cell r="D60" t="str">
            <v>لحوم باك ستريت</v>
          </cell>
          <cell r="E60" t="str">
            <v>حبة</v>
          </cell>
          <cell r="F60" t="str">
            <v>المراعى</v>
          </cell>
          <cell r="G60">
            <v>0</v>
          </cell>
          <cell r="H60" t="str">
            <v/>
          </cell>
        </row>
        <row r="61">
          <cell r="B61">
            <v>658</v>
          </cell>
          <cell r="C61" t="str">
            <v>كليمارى</v>
          </cell>
          <cell r="D61" t="str">
            <v>لحوم باك ستريت</v>
          </cell>
          <cell r="E61" t="str">
            <v>كيلو</v>
          </cell>
          <cell r="F61" t="str">
            <v>مشتريات مباشرة</v>
          </cell>
          <cell r="G61">
            <v>0</v>
          </cell>
          <cell r="H61" t="str">
            <v/>
          </cell>
        </row>
        <row r="62">
          <cell r="B62">
            <v>657</v>
          </cell>
          <cell r="C62" t="str">
            <v>شرمب</v>
          </cell>
          <cell r="D62" t="str">
            <v>لحوم باك ستريت</v>
          </cell>
          <cell r="E62" t="str">
            <v>كيلو</v>
          </cell>
          <cell r="F62" t="str">
            <v>مشتريات مباشرة</v>
          </cell>
          <cell r="G62">
            <v>0</v>
          </cell>
          <cell r="H62" t="str">
            <v/>
          </cell>
        </row>
        <row r="63">
          <cell r="B63">
            <v>752</v>
          </cell>
          <cell r="C63" t="str">
            <v>صلصة تتبيلة اجنحة  دجاج 12 اونز</v>
          </cell>
          <cell r="D63" t="str">
            <v>مواد غذائية (باك ستريت)</v>
          </cell>
          <cell r="E63" t="str">
            <v>كيلو</v>
          </cell>
          <cell r="F63" t="str">
            <v>تموين الشرق - فريشلي</v>
          </cell>
          <cell r="G63">
            <v>0</v>
          </cell>
          <cell r="H63" t="str">
            <v/>
          </cell>
        </row>
        <row r="64">
          <cell r="B64">
            <v>700</v>
          </cell>
          <cell r="C64" t="str">
            <v>جبنة شيدر أصفر قالب ( شبيه جبنة )</v>
          </cell>
          <cell r="D64" t="str">
            <v>مواد غذائية (باك ستريت)</v>
          </cell>
          <cell r="E64" t="str">
            <v>كيلو</v>
          </cell>
          <cell r="F64" t="str">
            <v>برايد</v>
          </cell>
          <cell r="G64">
            <v>0</v>
          </cell>
          <cell r="H64" t="str">
            <v/>
          </cell>
        </row>
        <row r="65">
          <cell r="B65">
            <v>604</v>
          </cell>
          <cell r="C65" t="str">
            <v>زيت زيتون</v>
          </cell>
          <cell r="D65" t="str">
            <v>مواد غذائية (باك ستريت)</v>
          </cell>
          <cell r="E65" t="str">
            <v>لتر</v>
          </cell>
          <cell r="F65" t="str">
            <v>تموين الشرق - فريشلي</v>
          </cell>
          <cell r="G65">
            <v>50.312269999999998</v>
          </cell>
          <cell r="H65" t="str">
            <v/>
          </cell>
        </row>
        <row r="66">
          <cell r="B66">
            <v>666</v>
          </cell>
          <cell r="C66" t="str">
            <v>جبنة موزريلا *كيس 2.3 كيلو</v>
          </cell>
          <cell r="D66" t="str">
            <v>مواد غذائية (باك ستريت)</v>
          </cell>
          <cell r="E66" t="str">
            <v>كيلو</v>
          </cell>
          <cell r="F66" t="str">
            <v>برايد</v>
          </cell>
          <cell r="G66">
            <v>26.264965990159901</v>
          </cell>
          <cell r="H66">
            <v>24.999850000000002</v>
          </cell>
        </row>
        <row r="67">
          <cell r="B67">
            <v>145</v>
          </cell>
          <cell r="C67" t="str">
            <v>زبدة  كرتونة * 25 كيلو</v>
          </cell>
          <cell r="D67" t="str">
            <v>مواد غذائية (باك ستريت)</v>
          </cell>
          <cell r="E67" t="str">
            <v>كيلو</v>
          </cell>
          <cell r="F67" t="str">
            <v>المراعى</v>
          </cell>
          <cell r="G67">
            <v>39.905000000000001</v>
          </cell>
          <cell r="H67">
            <v>40.480000000000004</v>
          </cell>
        </row>
        <row r="68">
          <cell r="B68">
            <v>365</v>
          </cell>
          <cell r="C68" t="str">
            <v>كريمة الطبخ 1 لتر</v>
          </cell>
          <cell r="D68" t="str">
            <v>مواد غذائية (باك ستريت)</v>
          </cell>
          <cell r="E68" t="str">
            <v>لتر</v>
          </cell>
          <cell r="F68" t="str">
            <v>المراعى</v>
          </cell>
          <cell r="G68">
            <v>16.421999999999997</v>
          </cell>
          <cell r="H68">
            <v>23.804999999999996</v>
          </cell>
        </row>
        <row r="69">
          <cell r="B69">
            <v>679</v>
          </cell>
          <cell r="C69" t="str">
            <v>كاجو</v>
          </cell>
          <cell r="D69" t="str">
            <v>مواد غذائية (باك ستريت)</v>
          </cell>
          <cell r="E69" t="str">
            <v>كيلو</v>
          </cell>
          <cell r="F69" t="str">
            <v>الجميل</v>
          </cell>
          <cell r="G69">
            <v>0</v>
          </cell>
          <cell r="H69" t="str">
            <v/>
          </cell>
        </row>
        <row r="70">
          <cell r="B70">
            <v>795</v>
          </cell>
          <cell r="C70" t="str">
            <v>جبنة شيدر ابيض شرائح</v>
          </cell>
          <cell r="D70" t="str">
            <v>مواد غذائية (باك ستريت)</v>
          </cell>
          <cell r="E70" t="str">
            <v>كيلو</v>
          </cell>
          <cell r="F70" t="str">
            <v>برايد</v>
          </cell>
          <cell r="G70">
            <v>0</v>
          </cell>
          <cell r="H70" t="str">
            <v/>
          </cell>
        </row>
        <row r="71">
          <cell r="B71">
            <v>806</v>
          </cell>
          <cell r="C71" t="str">
            <v>شيدر اصفر شرايح</v>
          </cell>
          <cell r="D71" t="str">
            <v>مواد غذائية (باك ستريت)</v>
          </cell>
          <cell r="E71" t="str">
            <v>كيلو</v>
          </cell>
          <cell r="F71" t="str">
            <v>برايد</v>
          </cell>
          <cell r="G71">
            <v>0</v>
          </cell>
          <cell r="H71" t="str">
            <v/>
          </cell>
        </row>
        <row r="72">
          <cell r="B72">
            <v>723</v>
          </cell>
          <cell r="C72" t="str">
            <v>شرائح لوز</v>
          </cell>
          <cell r="D72" t="str">
            <v>مواد غذائية (باك ستريت)</v>
          </cell>
          <cell r="E72" t="str">
            <v>كيلو</v>
          </cell>
          <cell r="F72" t="str">
            <v>الجميل</v>
          </cell>
          <cell r="G72">
            <v>0</v>
          </cell>
          <cell r="H72" t="str">
            <v/>
          </cell>
        </row>
        <row r="73">
          <cell r="B73">
            <v>721</v>
          </cell>
          <cell r="C73" t="str">
            <v>عين جمل</v>
          </cell>
          <cell r="D73" t="str">
            <v>مواد غذائية (باك ستريت)</v>
          </cell>
          <cell r="E73" t="str">
            <v>كيلو</v>
          </cell>
          <cell r="F73" t="str">
            <v>الجميل</v>
          </cell>
          <cell r="G73">
            <v>0</v>
          </cell>
          <cell r="H73" t="str">
            <v/>
          </cell>
        </row>
        <row r="74">
          <cell r="B74">
            <v>652</v>
          </cell>
          <cell r="C74" t="str">
            <v xml:space="preserve">دبس رمان 0.750 جرام </v>
          </cell>
          <cell r="D74" t="str">
            <v>مواد غذائية (باك ستريت)</v>
          </cell>
          <cell r="E74" t="str">
            <v>لتر</v>
          </cell>
          <cell r="F74" t="str">
            <v>نخالة القمح</v>
          </cell>
          <cell r="G74">
            <v>25.76</v>
          </cell>
          <cell r="H74" t="str">
            <v/>
          </cell>
        </row>
        <row r="75">
          <cell r="B75">
            <v>704</v>
          </cell>
          <cell r="C75" t="str">
            <v>نبيز احمر 0.750 جرام</v>
          </cell>
          <cell r="D75" t="str">
            <v>مواد غذائية (باك ستريت)</v>
          </cell>
          <cell r="E75" t="str">
            <v>لتر</v>
          </cell>
          <cell r="F75" t="str">
            <v>تموين الشرق - فريشلي</v>
          </cell>
          <cell r="G75">
            <v>0</v>
          </cell>
          <cell r="H75" t="str">
            <v/>
          </cell>
        </row>
        <row r="76">
          <cell r="B76">
            <v>769</v>
          </cell>
          <cell r="C76" t="str">
            <v>باربيكيو صوص</v>
          </cell>
          <cell r="D76" t="str">
            <v>مواد غذائية (باك ستريت)</v>
          </cell>
          <cell r="E76" t="str">
            <v>كيلو</v>
          </cell>
          <cell r="F76" t="str">
            <v>تموين الشرق - فريشلي</v>
          </cell>
          <cell r="G76">
            <v>30.391049999999996</v>
          </cell>
          <cell r="H76" t="str">
            <v/>
          </cell>
        </row>
        <row r="77">
          <cell r="B77">
            <v>706</v>
          </cell>
          <cell r="C77" t="str">
            <v>خردل 32 اونز</v>
          </cell>
          <cell r="D77" t="str">
            <v>مواد غذائية (باك ستريت)</v>
          </cell>
          <cell r="E77" t="str">
            <v>كيلو</v>
          </cell>
          <cell r="F77" t="str">
            <v>تموين الشرق - فريشلي</v>
          </cell>
          <cell r="G77">
            <v>0</v>
          </cell>
          <cell r="H77" t="str">
            <v/>
          </cell>
        </row>
        <row r="78">
          <cell r="B78">
            <v>798</v>
          </cell>
          <cell r="C78" t="str">
            <v>ورشيستر</v>
          </cell>
          <cell r="D78" t="str">
            <v>مواد غذائية (باك ستريت)</v>
          </cell>
          <cell r="E78" t="str">
            <v>لتر</v>
          </cell>
          <cell r="F78" t="str">
            <v>تموين الشرق - فريشلي</v>
          </cell>
          <cell r="G78">
            <v>0</v>
          </cell>
          <cell r="H78" t="str">
            <v/>
          </cell>
        </row>
        <row r="79">
          <cell r="B79">
            <v>720</v>
          </cell>
          <cell r="C79" t="str">
            <v>طماطم صوص</v>
          </cell>
          <cell r="D79" t="str">
            <v>مواد غذائية (باك ستريت)</v>
          </cell>
          <cell r="E79" t="str">
            <v>كيلو</v>
          </cell>
          <cell r="F79" t="str">
            <v>تموين الشرق - فريشلي</v>
          </cell>
          <cell r="G79">
            <v>0</v>
          </cell>
          <cell r="H79" t="str">
            <v/>
          </cell>
        </row>
        <row r="80">
          <cell r="B80">
            <v>727</v>
          </cell>
          <cell r="C80" t="str">
            <v>شيدر صوص</v>
          </cell>
          <cell r="D80" t="str">
            <v>مواد غذائية (باك ستريت)</v>
          </cell>
          <cell r="E80" t="str">
            <v>كيلو</v>
          </cell>
          <cell r="F80" t="str">
            <v>تموين الشرق - فريشلي</v>
          </cell>
          <cell r="G80">
            <v>30.989000000000001</v>
          </cell>
          <cell r="H80">
            <v>30.989049999999995</v>
          </cell>
        </row>
        <row r="81">
          <cell r="B81">
            <v>799</v>
          </cell>
          <cell r="C81" t="str">
            <v>سويت شيلى صوص</v>
          </cell>
          <cell r="D81" t="str">
            <v>مواد غذائية (باك ستريت)</v>
          </cell>
          <cell r="E81" t="str">
            <v>لتر</v>
          </cell>
          <cell r="F81" t="str">
            <v>تموين الشرق - فريشلي</v>
          </cell>
          <cell r="G81">
            <v>0</v>
          </cell>
          <cell r="H81" t="str">
            <v/>
          </cell>
        </row>
        <row r="82">
          <cell r="B82">
            <v>707</v>
          </cell>
          <cell r="C82" t="str">
            <v>مايونيز جالون *3.78 كيلو</v>
          </cell>
          <cell r="D82" t="str">
            <v>مواد غذائية (باك ستريت)</v>
          </cell>
          <cell r="E82" t="str">
            <v>كيلو</v>
          </cell>
          <cell r="F82" t="str">
            <v>تموين الشرق - فريشلي</v>
          </cell>
          <cell r="G82">
            <v>28.011700000000001</v>
          </cell>
          <cell r="H82">
            <v>31.898699999999998</v>
          </cell>
        </row>
        <row r="83">
          <cell r="B83">
            <v>724</v>
          </cell>
          <cell r="C83" t="str">
            <v xml:space="preserve">بافلو صوص </v>
          </cell>
          <cell r="D83" t="str">
            <v>مواد غذائية (باك ستريت)</v>
          </cell>
          <cell r="E83" t="str">
            <v>لتر</v>
          </cell>
          <cell r="F83" t="str">
            <v>تموين الشرق - فريشلي</v>
          </cell>
          <cell r="G83">
            <v>0</v>
          </cell>
          <cell r="H83" t="str">
            <v/>
          </cell>
        </row>
        <row r="84">
          <cell r="B84">
            <v>705</v>
          </cell>
          <cell r="C84" t="str">
            <v>كاتشب جالون *1.8 كيلو</v>
          </cell>
          <cell r="D84" t="str">
            <v>مواد غذائية (باك ستريت)</v>
          </cell>
          <cell r="E84" t="str">
            <v>كيلو</v>
          </cell>
          <cell r="F84" t="str">
            <v>تموين الشرق - فريشلي</v>
          </cell>
          <cell r="G84">
            <v>0</v>
          </cell>
          <cell r="H84" t="str">
            <v/>
          </cell>
        </row>
        <row r="85">
          <cell r="B85">
            <v>800</v>
          </cell>
          <cell r="C85" t="str">
            <v>صويا صوص</v>
          </cell>
          <cell r="D85" t="str">
            <v>مواد غذائية (باك ستريت)</v>
          </cell>
          <cell r="E85" t="str">
            <v>لتر</v>
          </cell>
          <cell r="F85" t="str">
            <v>العربية</v>
          </cell>
          <cell r="G85">
            <v>0</v>
          </cell>
          <cell r="H85" t="str">
            <v/>
          </cell>
        </row>
        <row r="86">
          <cell r="B86">
            <v>713</v>
          </cell>
          <cell r="C86" t="str">
            <v>ترافل صوص</v>
          </cell>
          <cell r="D86" t="str">
            <v>مواد غذائية (باك ستريت)</v>
          </cell>
          <cell r="E86" t="str">
            <v>كيلو</v>
          </cell>
          <cell r="F86" t="str">
            <v>العربية</v>
          </cell>
          <cell r="G86">
            <v>316.25</v>
          </cell>
          <cell r="H86">
            <v>316.25</v>
          </cell>
        </row>
        <row r="87">
          <cell r="B87">
            <v>686</v>
          </cell>
          <cell r="C87" t="str">
            <v>كرياكى صوص</v>
          </cell>
          <cell r="D87" t="str">
            <v>مواد غذائية (باك ستريت)</v>
          </cell>
          <cell r="E87" t="str">
            <v>لتر</v>
          </cell>
          <cell r="F87" t="str">
            <v>تموين الشرق - فريشلي</v>
          </cell>
          <cell r="G87">
            <v>0</v>
          </cell>
          <cell r="H87" t="str">
            <v/>
          </cell>
        </row>
        <row r="88">
          <cell r="B88">
            <v>801</v>
          </cell>
          <cell r="C88" t="str">
            <v>محسن انرجي</v>
          </cell>
          <cell r="D88" t="str">
            <v>مواد غذائية (باك ستريت)</v>
          </cell>
          <cell r="E88" t="str">
            <v>حبة</v>
          </cell>
          <cell r="F88" t="str">
            <v>مشتريات مباشرة</v>
          </cell>
          <cell r="G88">
            <v>59.78</v>
          </cell>
          <cell r="H88">
            <v>59.8</v>
          </cell>
        </row>
        <row r="89">
          <cell r="B89">
            <v>729</v>
          </cell>
          <cell r="C89" t="str">
            <v>تمر هندى خام</v>
          </cell>
          <cell r="D89" t="str">
            <v>مواد غذائية (باك ستريت)</v>
          </cell>
          <cell r="E89" t="str">
            <v>كيلو</v>
          </cell>
          <cell r="F89" t="str">
            <v>تموين الشرق - فريشلي</v>
          </cell>
          <cell r="G89">
            <v>0</v>
          </cell>
          <cell r="H89" t="str">
            <v/>
          </cell>
        </row>
        <row r="90">
          <cell r="B90">
            <v>691</v>
          </cell>
          <cell r="C90" t="str">
            <v>شوفان</v>
          </cell>
          <cell r="D90" t="str">
            <v>مواد غذائية (باك ستريت)</v>
          </cell>
          <cell r="E90" t="str">
            <v>كيلو</v>
          </cell>
          <cell r="F90" t="str">
            <v>مشتريات مباشرة</v>
          </cell>
          <cell r="G90">
            <v>0</v>
          </cell>
          <cell r="H90" t="str">
            <v/>
          </cell>
        </row>
        <row r="91">
          <cell r="B91">
            <v>702</v>
          </cell>
          <cell r="C91" t="str">
            <v>فلفل هالبينو</v>
          </cell>
          <cell r="D91" t="str">
            <v>مواد غذائية (باك ستريت)</v>
          </cell>
          <cell r="E91" t="str">
            <v>كيلو</v>
          </cell>
          <cell r="F91" t="str">
            <v>تموين الشرق - فريشلي</v>
          </cell>
          <cell r="G91">
            <v>0</v>
          </cell>
          <cell r="H91" t="str">
            <v/>
          </cell>
        </row>
        <row r="92">
          <cell r="B92">
            <v>662</v>
          </cell>
          <cell r="C92" t="str">
            <v>كورن فليكس</v>
          </cell>
          <cell r="D92" t="str">
            <v>مواد غذائية (باك ستريت)</v>
          </cell>
          <cell r="E92" t="str">
            <v>كيلو</v>
          </cell>
          <cell r="F92" t="str">
            <v>مشتريات مباشرة</v>
          </cell>
          <cell r="G92">
            <v>0</v>
          </cell>
          <cell r="H92" t="str">
            <v/>
          </cell>
        </row>
        <row r="93">
          <cell r="B93">
            <v>714</v>
          </cell>
          <cell r="C93" t="str">
            <v>أرز ريزونو</v>
          </cell>
          <cell r="D93" t="str">
            <v>مواد غذائية (باك ستريت)</v>
          </cell>
          <cell r="E93" t="str">
            <v>كيلو</v>
          </cell>
          <cell r="F93" t="str">
            <v>العربية</v>
          </cell>
          <cell r="G93">
            <v>0</v>
          </cell>
          <cell r="H93" t="str">
            <v/>
          </cell>
        </row>
        <row r="94">
          <cell r="B94">
            <v>703</v>
          </cell>
          <cell r="C94" t="str">
            <v>خل ابيض</v>
          </cell>
          <cell r="D94" t="str">
            <v>مواد غذائية (باك ستريت)</v>
          </cell>
          <cell r="E94" t="str">
            <v>لتر</v>
          </cell>
          <cell r="F94" t="str">
            <v>تموين الشرق - فريشلي</v>
          </cell>
          <cell r="G94">
            <v>0</v>
          </cell>
          <cell r="H94" t="str">
            <v/>
          </cell>
        </row>
        <row r="95">
          <cell r="B95">
            <v>632</v>
          </cell>
          <cell r="C95" t="str">
            <v>ملح ليمون</v>
          </cell>
          <cell r="D95" t="str">
            <v>مواد غذائية (باك ستريت)</v>
          </cell>
          <cell r="E95" t="str">
            <v>كيلو</v>
          </cell>
          <cell r="F95" t="str">
            <v>مشتريات مباشرة</v>
          </cell>
          <cell r="G95">
            <v>0</v>
          </cell>
          <cell r="H95" t="str">
            <v/>
          </cell>
        </row>
        <row r="96">
          <cell r="B96">
            <v>852</v>
          </cell>
          <cell r="C96" t="str">
            <v>خيار مخلل (شبت)</v>
          </cell>
          <cell r="D96" t="str">
            <v>مواد غذائية (باك ستريت)</v>
          </cell>
          <cell r="E96" t="str">
            <v>كيلو</v>
          </cell>
          <cell r="F96" t="str">
            <v>تموين الشرق - فريشلي</v>
          </cell>
          <cell r="G96">
            <v>0</v>
          </cell>
          <cell r="H96" t="str">
            <v/>
          </cell>
        </row>
        <row r="97">
          <cell r="B97">
            <v>687</v>
          </cell>
          <cell r="C97" t="str">
            <v>ملون طعام</v>
          </cell>
          <cell r="D97" t="str">
            <v>مواد غذائية (باك ستريت)</v>
          </cell>
          <cell r="E97" t="str">
            <v>كيلو</v>
          </cell>
          <cell r="F97" t="str">
            <v>مشتريات مباشرة</v>
          </cell>
          <cell r="G97">
            <v>0</v>
          </cell>
          <cell r="H97" t="str">
            <v/>
          </cell>
        </row>
        <row r="98">
          <cell r="B98">
            <v>780</v>
          </cell>
          <cell r="C98" t="str">
            <v>مرين</v>
          </cell>
          <cell r="D98" t="str">
            <v>مواد غذائية (باك ستريت)</v>
          </cell>
          <cell r="E98" t="str">
            <v>كيلو</v>
          </cell>
          <cell r="F98" t="str">
            <v>العربية</v>
          </cell>
          <cell r="G98">
            <v>0</v>
          </cell>
          <cell r="H98" t="str">
            <v/>
          </cell>
        </row>
        <row r="99">
          <cell r="B99">
            <v>667</v>
          </cell>
          <cell r="C99" t="str">
            <v>بانكو (ببقسماط)</v>
          </cell>
          <cell r="D99" t="str">
            <v>مواد غذائية (باك ستريت)</v>
          </cell>
          <cell r="E99" t="str">
            <v>كيلو</v>
          </cell>
          <cell r="F99" t="str">
            <v>مشتريات مباشرة</v>
          </cell>
          <cell r="G99">
            <v>9.9981000000000009</v>
          </cell>
          <cell r="H99" t="str">
            <v/>
          </cell>
        </row>
        <row r="100">
          <cell r="B100">
            <v>751</v>
          </cell>
          <cell r="C100" t="str">
            <v>خل بلسمك</v>
          </cell>
          <cell r="D100" t="str">
            <v>مواد غذائية (باك ستريت)</v>
          </cell>
          <cell r="E100" t="str">
            <v>لتر</v>
          </cell>
          <cell r="F100" t="str">
            <v>تموين الشرق - فريشلي</v>
          </cell>
          <cell r="G100">
            <v>0</v>
          </cell>
          <cell r="H100" t="str">
            <v/>
          </cell>
        </row>
        <row r="101">
          <cell r="B101">
            <v>670</v>
          </cell>
          <cell r="C101" t="str">
            <v>مربى توت ازرق</v>
          </cell>
          <cell r="D101" t="str">
            <v>مواد غذائية (باك ستريت)</v>
          </cell>
          <cell r="E101" t="str">
            <v>كيلو</v>
          </cell>
          <cell r="F101" t="str">
            <v>مشتريات مباشرة</v>
          </cell>
          <cell r="G101">
            <v>0</v>
          </cell>
          <cell r="H101" t="str">
            <v/>
          </cell>
        </row>
        <row r="102">
          <cell r="B102">
            <v>770</v>
          </cell>
          <cell r="C102" t="str">
            <v>زيت ذرة</v>
          </cell>
          <cell r="D102" t="str">
            <v>مواد غذائية (باك ستريت)</v>
          </cell>
          <cell r="E102" t="str">
            <v>لتر</v>
          </cell>
          <cell r="F102" t="str">
            <v>الفارس العالمي</v>
          </cell>
          <cell r="G102">
            <v>0</v>
          </cell>
          <cell r="H102" t="str">
            <v/>
          </cell>
        </row>
        <row r="103">
          <cell r="B103">
            <v>719</v>
          </cell>
          <cell r="C103" t="str">
            <v>طماطم  معلبة</v>
          </cell>
          <cell r="D103" t="str">
            <v>مواد غذائية (باك ستريت)</v>
          </cell>
          <cell r="E103" t="str">
            <v>كيلو</v>
          </cell>
          <cell r="F103" t="str">
            <v>تموين الشرق - فريشلي</v>
          </cell>
          <cell r="G103">
            <v>28.75</v>
          </cell>
          <cell r="H103" t="str">
            <v/>
          </cell>
        </row>
        <row r="104">
          <cell r="B104">
            <v>683</v>
          </cell>
          <cell r="C104" t="str">
            <v>فاصوليا حمرة</v>
          </cell>
          <cell r="D104" t="str">
            <v>مواد غذائية (باك ستريت)</v>
          </cell>
          <cell r="E104" t="str">
            <v>كيلو</v>
          </cell>
          <cell r="F104" t="str">
            <v>تموين الشرق - فريشلي</v>
          </cell>
          <cell r="G104">
            <v>0</v>
          </cell>
          <cell r="H104" t="str">
            <v/>
          </cell>
        </row>
        <row r="105">
          <cell r="B105">
            <v>765</v>
          </cell>
          <cell r="C105" t="str">
            <v>زيت سمسم</v>
          </cell>
          <cell r="D105" t="str">
            <v>مواد غذائية (باك ستريت)</v>
          </cell>
          <cell r="E105" t="str">
            <v>لتر</v>
          </cell>
          <cell r="F105" t="str">
            <v>مشتريات مباشرة</v>
          </cell>
          <cell r="G105">
            <v>0</v>
          </cell>
          <cell r="H105" t="str">
            <v/>
          </cell>
        </row>
        <row r="106">
          <cell r="B106">
            <v>656</v>
          </cell>
          <cell r="C106" t="str">
            <v>خبز عربى</v>
          </cell>
          <cell r="D106" t="str">
            <v>مواد غذائية (باك ستريت)</v>
          </cell>
          <cell r="E106" t="str">
            <v>كيس</v>
          </cell>
          <cell r="F106" t="str">
            <v>مشتريات مباشرة</v>
          </cell>
          <cell r="G106">
            <v>0</v>
          </cell>
          <cell r="H106" t="str">
            <v/>
          </cell>
        </row>
        <row r="107">
          <cell r="B107">
            <v>665</v>
          </cell>
          <cell r="C107" t="str">
            <v>كاكاو</v>
          </cell>
          <cell r="D107" t="str">
            <v>مواد غذائية (باك ستريت)</v>
          </cell>
          <cell r="E107" t="str">
            <v>كيلو</v>
          </cell>
          <cell r="F107" t="str">
            <v>مشتريات مباشرة</v>
          </cell>
          <cell r="G107">
            <v>0</v>
          </cell>
          <cell r="H107" t="str">
            <v/>
          </cell>
        </row>
        <row r="108">
          <cell r="B108">
            <v>717</v>
          </cell>
          <cell r="C108" t="str">
            <v>زيت ترافيل</v>
          </cell>
          <cell r="D108" t="str">
            <v>مواد غذائية (باك ستريت)</v>
          </cell>
          <cell r="E108" t="str">
            <v>لتر</v>
          </cell>
          <cell r="F108" t="str">
            <v>الخليج الوسطى</v>
          </cell>
          <cell r="G108">
            <v>0</v>
          </cell>
          <cell r="H108">
            <v>0</v>
          </cell>
        </row>
        <row r="109">
          <cell r="B109">
            <v>759</v>
          </cell>
          <cell r="C109" t="str">
            <v>ورق عنب</v>
          </cell>
          <cell r="D109" t="str">
            <v>مواد غذائية (باك ستريت)</v>
          </cell>
          <cell r="E109" t="str">
            <v>كيلو</v>
          </cell>
          <cell r="F109" t="str">
            <v>تموين الشرق - فريشلي</v>
          </cell>
          <cell r="G109">
            <v>0</v>
          </cell>
          <cell r="H109" t="str">
            <v/>
          </cell>
        </row>
        <row r="110">
          <cell r="B110">
            <v>712</v>
          </cell>
          <cell r="C110" t="str">
            <v>بطاطس مجمد كرتونة *10 كيلو</v>
          </cell>
          <cell r="D110" t="str">
            <v>مواد غذائية (باك ستريت)</v>
          </cell>
          <cell r="E110" t="str">
            <v>كيلو</v>
          </cell>
          <cell r="F110" t="str">
            <v>موسسة مورد النخبة</v>
          </cell>
          <cell r="G110">
            <v>0</v>
          </cell>
          <cell r="H110" t="str">
            <v/>
          </cell>
        </row>
        <row r="111">
          <cell r="B111">
            <v>660</v>
          </cell>
          <cell r="C111" t="str">
            <v>توت مجفف</v>
          </cell>
          <cell r="D111" t="str">
            <v>مواد غذائية (باك ستريت)</v>
          </cell>
          <cell r="E111" t="str">
            <v>كيلو</v>
          </cell>
          <cell r="F111" t="str">
            <v>مشتريات مباشرة</v>
          </cell>
          <cell r="G111">
            <v>0</v>
          </cell>
          <cell r="H111" t="str">
            <v/>
          </cell>
        </row>
        <row r="112">
          <cell r="B112">
            <v>675</v>
          </cell>
          <cell r="C112" t="str">
            <v>سميد</v>
          </cell>
          <cell r="D112" t="str">
            <v>مواد غذائية (باك ستريت)</v>
          </cell>
          <cell r="E112" t="str">
            <v>كيلو</v>
          </cell>
          <cell r="F112" t="str">
            <v>مشتريات مباشرة</v>
          </cell>
          <cell r="G112">
            <v>0</v>
          </cell>
          <cell r="H112" t="str">
            <v/>
          </cell>
        </row>
        <row r="113">
          <cell r="B113">
            <v>654</v>
          </cell>
          <cell r="C113" t="str">
            <v>خبز تورتلا</v>
          </cell>
          <cell r="D113" t="str">
            <v>مواد غذائية (باك ستريت)</v>
          </cell>
          <cell r="E113" t="str">
            <v>كيس</v>
          </cell>
          <cell r="F113" t="str">
            <v>مشتريات مباشرة</v>
          </cell>
          <cell r="G113">
            <v>0</v>
          </cell>
          <cell r="H113" t="str">
            <v/>
          </cell>
        </row>
        <row r="114">
          <cell r="B114">
            <v>684</v>
          </cell>
          <cell r="C114" t="str">
            <v>با ستا فيونكة خام</v>
          </cell>
          <cell r="D114" t="str">
            <v>مواد غذائية (باك ستريت)</v>
          </cell>
          <cell r="E114" t="str">
            <v>كيلو</v>
          </cell>
          <cell r="F114" t="str">
            <v>العلالي</v>
          </cell>
          <cell r="G114">
            <v>0</v>
          </cell>
          <cell r="H114" t="str">
            <v/>
          </cell>
        </row>
        <row r="115">
          <cell r="B115">
            <v>803</v>
          </cell>
          <cell r="C115" t="str">
            <v>دقيق ذرة</v>
          </cell>
          <cell r="D115" t="str">
            <v>مواد غذائية (باك ستريت)</v>
          </cell>
          <cell r="E115" t="str">
            <v>كيلو</v>
          </cell>
          <cell r="F115" t="str">
            <v>مشتريات مباشرة</v>
          </cell>
          <cell r="G115">
            <v>0</v>
          </cell>
          <cell r="H115" t="str">
            <v/>
          </cell>
        </row>
        <row r="116">
          <cell r="B116">
            <v>716</v>
          </cell>
          <cell r="C116" t="str">
            <v>بيف بيكون</v>
          </cell>
          <cell r="D116" t="str">
            <v>مواد غذائية (باك ستريت)</v>
          </cell>
          <cell r="E116" t="str">
            <v>كيلو</v>
          </cell>
          <cell r="F116" t="str">
            <v>العربية</v>
          </cell>
          <cell r="G116">
            <v>74.75</v>
          </cell>
          <cell r="H116">
            <v>74.75</v>
          </cell>
        </row>
        <row r="117">
          <cell r="B117">
            <v>804</v>
          </cell>
          <cell r="C117" t="str">
            <v>خل ارز</v>
          </cell>
          <cell r="D117" t="str">
            <v>مواد غذائية (باك ستريت)</v>
          </cell>
          <cell r="E117" t="str">
            <v>لتر</v>
          </cell>
          <cell r="F117" t="str">
            <v>تموين الشرق - فريشلي</v>
          </cell>
          <cell r="G117">
            <v>0</v>
          </cell>
          <cell r="H117" t="str">
            <v/>
          </cell>
        </row>
        <row r="118">
          <cell r="B118">
            <v>696</v>
          </cell>
          <cell r="C118" t="str">
            <v>شطة تابسكو احمر</v>
          </cell>
          <cell r="D118" t="str">
            <v>مواد غذائية (باك ستريت)</v>
          </cell>
          <cell r="E118" t="str">
            <v>لتر</v>
          </cell>
          <cell r="F118" t="str">
            <v>تموين الشرق - فريشلي</v>
          </cell>
          <cell r="G118">
            <v>0</v>
          </cell>
          <cell r="H118" t="str">
            <v/>
          </cell>
        </row>
        <row r="119">
          <cell r="B119">
            <v>697</v>
          </cell>
          <cell r="C119" t="str">
            <v>شطة تابسكو اخضر</v>
          </cell>
          <cell r="D119" t="str">
            <v>مواد غذائية (باك ستريت)</v>
          </cell>
          <cell r="E119" t="str">
            <v>لتر</v>
          </cell>
          <cell r="F119" t="str">
            <v>تموين الشرق - فريشلي</v>
          </cell>
          <cell r="G119">
            <v>0</v>
          </cell>
          <cell r="H119" t="str">
            <v/>
          </cell>
        </row>
        <row r="120">
          <cell r="B120">
            <v>820</v>
          </cell>
          <cell r="C120" t="str">
            <v>باستا ريجاتوني</v>
          </cell>
          <cell r="D120" t="str">
            <v>مواد غذائية (باك ستريت)</v>
          </cell>
          <cell r="E120" t="str">
            <v>كيلو</v>
          </cell>
          <cell r="F120" t="str">
            <v>نخالة القمح</v>
          </cell>
          <cell r="G120">
            <v>0</v>
          </cell>
          <cell r="H120" t="str">
            <v/>
          </cell>
        </row>
        <row r="121">
          <cell r="B121">
            <v>659</v>
          </cell>
          <cell r="C121" t="str">
            <v>زبادى يونانى</v>
          </cell>
          <cell r="D121" t="str">
            <v>مواد غذائية (باك ستريت)</v>
          </cell>
          <cell r="E121" t="str">
            <v>كيلو</v>
          </cell>
          <cell r="F121" t="str">
            <v>مشتريات مباشرة</v>
          </cell>
          <cell r="G121">
            <v>0</v>
          </cell>
          <cell r="H121" t="str">
            <v/>
          </cell>
        </row>
        <row r="122">
          <cell r="B122">
            <v>661</v>
          </cell>
          <cell r="C122" t="str">
            <v>لبنة</v>
          </cell>
          <cell r="D122" t="str">
            <v>مواد غذائية (باك ستريت)</v>
          </cell>
          <cell r="E122" t="str">
            <v>كيلو</v>
          </cell>
          <cell r="F122" t="str">
            <v>المراعى</v>
          </cell>
          <cell r="G122">
            <v>0</v>
          </cell>
          <cell r="H122" t="str">
            <v/>
          </cell>
        </row>
        <row r="123">
          <cell r="B123">
            <v>674</v>
          </cell>
          <cell r="C123" t="str">
            <v>زبادى عادى</v>
          </cell>
          <cell r="D123" t="str">
            <v>مواد غذائية (باك ستريت)</v>
          </cell>
          <cell r="E123" t="str">
            <v>كيلو</v>
          </cell>
          <cell r="F123" t="str">
            <v>المراعى</v>
          </cell>
          <cell r="G123">
            <v>11.763350000000001</v>
          </cell>
          <cell r="H123" t="str">
            <v/>
          </cell>
        </row>
        <row r="124">
          <cell r="B124">
            <v>748</v>
          </cell>
          <cell r="C124" t="str">
            <v>جبنة بارمزن</v>
          </cell>
          <cell r="D124" t="str">
            <v>مواد غذائية (باك ستريت)</v>
          </cell>
          <cell r="E124" t="str">
            <v>كيلو</v>
          </cell>
          <cell r="F124" t="str">
            <v>الخليج الوسطى</v>
          </cell>
          <cell r="G124">
            <v>66.52</v>
          </cell>
          <cell r="H124" t="str">
            <v/>
          </cell>
        </row>
        <row r="125">
          <cell r="B125">
            <v>664</v>
          </cell>
          <cell r="C125" t="str">
            <v>حليب مكثف</v>
          </cell>
          <cell r="D125" t="str">
            <v>مواد غذائية (باك ستريت)</v>
          </cell>
          <cell r="E125" t="str">
            <v>كيلو</v>
          </cell>
          <cell r="F125" t="str">
            <v>مشتريات مباشرة</v>
          </cell>
          <cell r="G125">
            <v>29.949220000000004</v>
          </cell>
          <cell r="H125">
            <v>30.099786363636365</v>
          </cell>
        </row>
        <row r="126">
          <cell r="B126">
            <v>819</v>
          </cell>
          <cell r="C126" t="str">
            <v>شيدر ماتير</v>
          </cell>
          <cell r="D126" t="str">
            <v>مواد غذائية (باك ستريت)</v>
          </cell>
          <cell r="E126" t="str">
            <v>كيلو</v>
          </cell>
          <cell r="F126" t="str">
            <v>مشتريات مباشرة</v>
          </cell>
          <cell r="G126">
            <v>0</v>
          </cell>
          <cell r="H126" t="str">
            <v/>
          </cell>
        </row>
        <row r="127">
          <cell r="B127">
            <v>673</v>
          </cell>
          <cell r="C127" t="str">
            <v>جبنة فيتا</v>
          </cell>
          <cell r="D127" t="str">
            <v>مواد غذائية (باك ستريت)</v>
          </cell>
          <cell r="E127" t="str">
            <v>كيلو</v>
          </cell>
          <cell r="F127" t="str">
            <v>مشتريات مباشرة</v>
          </cell>
          <cell r="G127">
            <v>22.079700970245803</v>
          </cell>
          <cell r="H127" t="str">
            <v/>
          </cell>
        </row>
        <row r="128">
          <cell r="B128">
            <v>427</v>
          </cell>
          <cell r="C128" t="str">
            <v>فلفل كورى</v>
          </cell>
          <cell r="D128" t="str">
            <v>مواد غذائية (باك ستريت)</v>
          </cell>
          <cell r="E128" t="str">
            <v>كيلو</v>
          </cell>
          <cell r="F128" t="str">
            <v>العربية</v>
          </cell>
          <cell r="G128">
            <v>0</v>
          </cell>
          <cell r="H128" t="str">
            <v/>
          </cell>
        </row>
        <row r="129">
          <cell r="B129">
            <v>718</v>
          </cell>
          <cell r="C129" t="str">
            <v>جبنة جران مورايفا</v>
          </cell>
          <cell r="D129" t="str">
            <v>مواد غذائية (باك ستريت)</v>
          </cell>
          <cell r="E129" t="str">
            <v>كيلو</v>
          </cell>
          <cell r="F129" t="str">
            <v>مشتريات مباشرة</v>
          </cell>
          <cell r="G129">
            <v>0</v>
          </cell>
          <cell r="H129" t="str">
            <v/>
          </cell>
        </row>
        <row r="130">
          <cell r="B130">
            <v>669</v>
          </cell>
          <cell r="C130" t="str">
            <v>بودر مرقة دجاج</v>
          </cell>
          <cell r="D130" t="str">
            <v>مواد غذائية (باك ستريت)</v>
          </cell>
          <cell r="E130" t="str">
            <v>كيلو</v>
          </cell>
          <cell r="F130" t="str">
            <v>اليسر</v>
          </cell>
          <cell r="G130">
            <v>0</v>
          </cell>
          <cell r="H130" t="str">
            <v/>
          </cell>
        </row>
        <row r="131">
          <cell r="B131">
            <v>808</v>
          </cell>
          <cell r="C131" t="str">
            <v>ديمجلاس بودر</v>
          </cell>
          <cell r="D131" t="str">
            <v>مواد غذائية (باك ستريت)</v>
          </cell>
          <cell r="E131" t="str">
            <v>كيلو</v>
          </cell>
          <cell r="F131" t="str">
            <v>اليسر</v>
          </cell>
          <cell r="G131">
            <v>0</v>
          </cell>
          <cell r="H131" t="str">
            <v/>
          </cell>
        </row>
        <row r="132">
          <cell r="B132">
            <v>708</v>
          </cell>
          <cell r="C132" t="str">
            <v>نشا</v>
          </cell>
          <cell r="D132" t="str">
            <v>مواد غذائية (باك ستريت)</v>
          </cell>
          <cell r="E132" t="str">
            <v>كيلو</v>
          </cell>
          <cell r="F132" t="str">
            <v>مشتريات مباشرة</v>
          </cell>
          <cell r="G132">
            <v>0</v>
          </cell>
          <cell r="H132" t="str">
            <v/>
          </cell>
        </row>
        <row r="133">
          <cell r="B133">
            <v>676</v>
          </cell>
          <cell r="C133" t="str">
            <v>زعفران</v>
          </cell>
          <cell r="D133" t="str">
            <v>مواد غذائية (باك ستريت)</v>
          </cell>
          <cell r="E133" t="str">
            <v>جرام</v>
          </cell>
          <cell r="F133" t="str">
            <v>مشتريات مباشرة</v>
          </cell>
          <cell r="G133">
            <v>0</v>
          </cell>
          <cell r="H133" t="str">
            <v/>
          </cell>
        </row>
        <row r="134">
          <cell r="B134">
            <v>701</v>
          </cell>
          <cell r="C134" t="str">
            <v>بابريكا مدخن</v>
          </cell>
          <cell r="D134" t="str">
            <v>مواد غذائية (باك ستريت)</v>
          </cell>
          <cell r="E134" t="str">
            <v>كيلو</v>
          </cell>
          <cell r="F134" t="str">
            <v>تموين الشرق - فريشلي</v>
          </cell>
          <cell r="G134">
            <v>0</v>
          </cell>
          <cell r="H134" t="str">
            <v/>
          </cell>
        </row>
        <row r="135">
          <cell r="B135">
            <v>726</v>
          </cell>
          <cell r="C135" t="str">
            <v>بصل بودر</v>
          </cell>
          <cell r="D135" t="str">
            <v>مواد غذائية (باك ستريت)</v>
          </cell>
          <cell r="E135" t="str">
            <v>كيلو</v>
          </cell>
          <cell r="F135" t="str">
            <v>تموين الشرق - فريشلي</v>
          </cell>
          <cell r="G135">
            <v>0</v>
          </cell>
          <cell r="H135" t="str">
            <v/>
          </cell>
        </row>
        <row r="136">
          <cell r="B136">
            <v>768</v>
          </cell>
          <cell r="C136" t="str">
            <v>ثوم بودر</v>
          </cell>
          <cell r="D136" t="str">
            <v>مواد غذائية (باك ستريت)</v>
          </cell>
          <cell r="E136" t="str">
            <v>كيلو</v>
          </cell>
          <cell r="F136" t="str">
            <v>تموين الشرق - فريشلي</v>
          </cell>
          <cell r="G136">
            <v>0</v>
          </cell>
          <cell r="H136" t="str">
            <v/>
          </cell>
        </row>
        <row r="137">
          <cell r="B137">
            <v>807</v>
          </cell>
          <cell r="C137" t="str">
            <v>بهارات إيطالية</v>
          </cell>
          <cell r="D137" t="str">
            <v>مواد غذائية (باك ستريت)</v>
          </cell>
          <cell r="E137" t="str">
            <v>كيلو</v>
          </cell>
          <cell r="F137" t="str">
            <v>تموين الشرق - فريشلي</v>
          </cell>
          <cell r="G137">
            <v>0</v>
          </cell>
          <cell r="H137" t="str">
            <v/>
          </cell>
        </row>
        <row r="138">
          <cell r="B138">
            <v>764</v>
          </cell>
          <cell r="C138" t="str">
            <v>كركم</v>
          </cell>
          <cell r="D138" t="str">
            <v>مواد غذائية (باك ستريت)</v>
          </cell>
          <cell r="E138" t="str">
            <v>كيلو</v>
          </cell>
          <cell r="F138" t="str">
            <v>مشتريات مباشرة</v>
          </cell>
          <cell r="G138">
            <v>15.41</v>
          </cell>
          <cell r="H138" t="str">
            <v/>
          </cell>
        </row>
        <row r="139">
          <cell r="B139">
            <v>711</v>
          </cell>
          <cell r="C139" t="str">
            <v>كارى</v>
          </cell>
          <cell r="D139" t="str">
            <v>مواد غذائية (باك ستريت)</v>
          </cell>
          <cell r="E139" t="str">
            <v>كيلو</v>
          </cell>
          <cell r="F139" t="str">
            <v>مشتريات مباشرة</v>
          </cell>
          <cell r="G139">
            <v>32.200000000000003</v>
          </cell>
          <cell r="H139" t="str">
            <v/>
          </cell>
        </row>
        <row r="140">
          <cell r="B140">
            <v>730</v>
          </cell>
          <cell r="C140" t="str">
            <v>كربونات صوديوم</v>
          </cell>
          <cell r="D140" t="str">
            <v>مواد غذائية (باك ستريت)</v>
          </cell>
          <cell r="E140" t="str">
            <v>كيلو</v>
          </cell>
          <cell r="F140" t="str">
            <v>مشتريات مباشرة</v>
          </cell>
          <cell r="G140">
            <v>0</v>
          </cell>
          <cell r="H140" t="str">
            <v/>
          </cell>
        </row>
        <row r="141">
          <cell r="B141">
            <v>725</v>
          </cell>
          <cell r="C141" t="str">
            <v>بهارات كاجون</v>
          </cell>
          <cell r="D141" t="str">
            <v>مواد غذائية (باك ستريت)</v>
          </cell>
          <cell r="E141" t="str">
            <v>كيلو</v>
          </cell>
          <cell r="F141" t="str">
            <v>تموين الشرق - فريشلي</v>
          </cell>
          <cell r="G141">
            <v>0</v>
          </cell>
          <cell r="H141">
            <v>76.177149999999997</v>
          </cell>
        </row>
        <row r="142">
          <cell r="B142">
            <v>732</v>
          </cell>
          <cell r="C142" t="str">
            <v>هونداشي</v>
          </cell>
          <cell r="D142" t="str">
            <v>مواد غذائية (باك ستريت)</v>
          </cell>
          <cell r="E142" t="str">
            <v>كيلو</v>
          </cell>
          <cell r="F142" t="str">
            <v>العربية</v>
          </cell>
          <cell r="G142">
            <v>0</v>
          </cell>
          <cell r="H142" t="str">
            <v/>
          </cell>
        </row>
        <row r="143">
          <cell r="B143">
            <v>809</v>
          </cell>
          <cell r="C143" t="str">
            <v>توجراشى</v>
          </cell>
          <cell r="D143" t="str">
            <v>مواد غذائية (باك ستريت)</v>
          </cell>
          <cell r="E143" t="str">
            <v>كيلو</v>
          </cell>
          <cell r="F143" t="str">
            <v>العربية</v>
          </cell>
          <cell r="G143">
            <v>0</v>
          </cell>
          <cell r="H143" t="str">
            <v/>
          </cell>
        </row>
        <row r="144">
          <cell r="B144">
            <v>788</v>
          </cell>
          <cell r="C144" t="str">
            <v>سويت بابريكا</v>
          </cell>
          <cell r="D144" t="str">
            <v>مواد غذائية (باك ستريت)</v>
          </cell>
          <cell r="E144" t="str">
            <v>كيلو</v>
          </cell>
          <cell r="F144" t="str">
            <v>تموين الشرق - فريشلي</v>
          </cell>
          <cell r="G144">
            <v>0</v>
          </cell>
          <cell r="H144" t="str">
            <v/>
          </cell>
        </row>
        <row r="145">
          <cell r="B145">
            <v>810</v>
          </cell>
          <cell r="C145" t="str">
            <v>ورق زعتر</v>
          </cell>
          <cell r="D145" t="str">
            <v>مواد غذائية (باك ستريت)</v>
          </cell>
          <cell r="E145" t="str">
            <v>كيلو</v>
          </cell>
          <cell r="F145" t="str">
            <v>تموين الشرق - فريشلي</v>
          </cell>
          <cell r="G145">
            <v>0</v>
          </cell>
          <cell r="H145" t="str">
            <v/>
          </cell>
        </row>
        <row r="146">
          <cell r="B146">
            <v>728</v>
          </cell>
          <cell r="C146" t="str">
            <v>زبدة فول سودانى</v>
          </cell>
          <cell r="D146" t="str">
            <v>مواد غذائية (باك ستريت)</v>
          </cell>
          <cell r="E146" t="str">
            <v>كيلو</v>
          </cell>
          <cell r="F146" t="str">
            <v>تموين الشرق - فريشلي</v>
          </cell>
          <cell r="G146">
            <v>0</v>
          </cell>
          <cell r="H146" t="str">
            <v/>
          </cell>
        </row>
        <row r="147">
          <cell r="B147">
            <v>761</v>
          </cell>
          <cell r="C147" t="str">
            <v>شمار هندى</v>
          </cell>
          <cell r="D147" t="str">
            <v>مواد غذائية (باك ستريت)</v>
          </cell>
          <cell r="E147" t="str">
            <v>كيلو</v>
          </cell>
          <cell r="F147" t="str">
            <v>مشتريات مباشرة</v>
          </cell>
          <cell r="G147">
            <v>0</v>
          </cell>
          <cell r="H147" t="str">
            <v/>
          </cell>
        </row>
        <row r="148">
          <cell r="B148">
            <v>688</v>
          </cell>
          <cell r="C148" t="str">
            <v>تنظيف اسماك</v>
          </cell>
          <cell r="D148" t="str">
            <v>مواد غذائية (باك ستريت)</v>
          </cell>
          <cell r="E148" t="str">
            <v>----</v>
          </cell>
          <cell r="F148">
            <v>0</v>
          </cell>
          <cell r="G148">
            <v>0</v>
          </cell>
          <cell r="H148" t="str">
            <v/>
          </cell>
        </row>
        <row r="149">
          <cell r="B149">
            <v>786</v>
          </cell>
          <cell r="C149" t="str">
            <v>مخلل شرائح همبرجر32اونز</v>
          </cell>
          <cell r="D149" t="str">
            <v>مواد غذائية (باك ستريت)</v>
          </cell>
          <cell r="E149" t="str">
            <v>كيلو</v>
          </cell>
          <cell r="F149" t="str">
            <v>تموين الشرق - فريشلي</v>
          </cell>
          <cell r="G149">
            <v>0</v>
          </cell>
          <cell r="H149" t="str">
            <v/>
          </cell>
        </row>
        <row r="150">
          <cell r="B150">
            <v>650</v>
          </cell>
          <cell r="C150" t="str">
            <v>جبنة فيلاديفيا 1650 جرام</v>
          </cell>
          <cell r="D150" t="str">
            <v>مواد غذائية (المشربية)</v>
          </cell>
          <cell r="E150" t="str">
            <v>علبة</v>
          </cell>
          <cell r="F150" t="str">
            <v>مشتريات مباشرة</v>
          </cell>
          <cell r="G150">
            <v>0</v>
          </cell>
          <cell r="H150" t="str">
            <v/>
          </cell>
        </row>
        <row r="151">
          <cell r="B151">
            <v>741</v>
          </cell>
          <cell r="C151" t="str">
            <v>جبنة فيتا البقرات الثلاثة</v>
          </cell>
          <cell r="D151" t="str">
            <v>مواد غذائية (المشربية)</v>
          </cell>
          <cell r="E151" t="str">
            <v>كياو</v>
          </cell>
          <cell r="F151" t="str">
            <v>المنجم</v>
          </cell>
          <cell r="G151">
            <v>11.36</v>
          </cell>
          <cell r="H151" t="str">
            <v/>
          </cell>
        </row>
        <row r="152">
          <cell r="B152">
            <v>459</v>
          </cell>
          <cell r="C152" t="str">
            <v>كريمة خفق 1 لتر - المشربية</v>
          </cell>
          <cell r="D152" t="str">
            <v>مواد غذائية (المشربية)</v>
          </cell>
          <cell r="E152" t="str">
            <v>لتر</v>
          </cell>
          <cell r="F152" t="str">
            <v>المراعى</v>
          </cell>
          <cell r="G152">
            <v>26.299733333333336</v>
          </cell>
          <cell r="H152">
            <v>38.949637500000001</v>
          </cell>
        </row>
        <row r="153">
          <cell r="B153">
            <v>292</v>
          </cell>
          <cell r="C153" t="str">
            <v>ينسون فرط - المشربية</v>
          </cell>
          <cell r="D153" t="str">
            <v>مواد غذائية (المشربية)</v>
          </cell>
          <cell r="E153" t="str">
            <v>كيلو</v>
          </cell>
          <cell r="F153" t="str">
            <v>مشتريات مباشرة</v>
          </cell>
          <cell r="G153">
            <v>30.02</v>
          </cell>
          <cell r="H153" t="str">
            <v/>
          </cell>
        </row>
        <row r="154">
          <cell r="B154">
            <v>293</v>
          </cell>
          <cell r="C154" t="str">
            <v>حلبة حب - المشربية</v>
          </cell>
          <cell r="D154" t="str">
            <v>مواد غذائية (المشربية)</v>
          </cell>
          <cell r="E154" t="str">
            <v>كيلو</v>
          </cell>
          <cell r="F154" t="str">
            <v>مشتريات مباشرة</v>
          </cell>
          <cell r="G154">
            <v>20</v>
          </cell>
          <cell r="H154" t="str">
            <v/>
          </cell>
        </row>
        <row r="155">
          <cell r="B155">
            <v>294</v>
          </cell>
          <cell r="C155" t="str">
            <v>نعناع مجفف - المشربية</v>
          </cell>
          <cell r="D155" t="str">
            <v>مواد غذائية (المشربية)</v>
          </cell>
          <cell r="E155" t="str">
            <v>كيلو</v>
          </cell>
          <cell r="F155" t="str">
            <v>مشتريات مباشرة</v>
          </cell>
          <cell r="G155">
            <v>0</v>
          </cell>
          <cell r="H155" t="str">
            <v/>
          </cell>
        </row>
        <row r="156">
          <cell r="B156">
            <v>295</v>
          </cell>
          <cell r="C156" t="str">
            <v>سكر دايت استيفياني - المشربية</v>
          </cell>
          <cell r="D156" t="str">
            <v>مواد غذائية (المشربية)</v>
          </cell>
          <cell r="E156" t="str">
            <v>بكت</v>
          </cell>
          <cell r="F156" t="str">
            <v>مشتريات مباشرة</v>
          </cell>
          <cell r="G156">
            <v>20.13</v>
          </cell>
          <cell r="H156">
            <v>19.950364285714283</v>
          </cell>
        </row>
        <row r="157">
          <cell r="B157">
            <v>296</v>
          </cell>
          <cell r="C157" t="str">
            <v>كركديه فرط - المشربية</v>
          </cell>
          <cell r="D157" t="str">
            <v>مواد غذائية (المشربية)</v>
          </cell>
          <cell r="E157" t="str">
            <v>كيلو</v>
          </cell>
          <cell r="F157" t="str">
            <v>مشتريات مباشرة</v>
          </cell>
          <cell r="G157">
            <v>19.943300000000001</v>
          </cell>
          <cell r="H157">
            <v>20.611976544943822</v>
          </cell>
        </row>
        <row r="158">
          <cell r="B158">
            <v>297</v>
          </cell>
          <cell r="C158" t="str">
            <v>قرفة خشب - المشربية</v>
          </cell>
          <cell r="D158" t="str">
            <v>مواد غذائية (المشربية)</v>
          </cell>
          <cell r="E158" t="str">
            <v>كيلو</v>
          </cell>
          <cell r="F158" t="str">
            <v>مشتريات مباشرة</v>
          </cell>
          <cell r="G158">
            <v>29.558892307692311</v>
          </cell>
          <cell r="H158" t="str">
            <v/>
          </cell>
        </row>
        <row r="159">
          <cell r="B159">
            <v>298</v>
          </cell>
          <cell r="C159" t="str">
            <v>نسكافيه قولد - المشربية</v>
          </cell>
          <cell r="D159" t="str">
            <v>مواد غذائية (المشربية)</v>
          </cell>
          <cell r="E159" t="str">
            <v>كيلو</v>
          </cell>
          <cell r="F159" t="str">
            <v>مشتريات مباشرة</v>
          </cell>
          <cell r="G159">
            <v>242.11</v>
          </cell>
          <cell r="H159" t="str">
            <v/>
          </cell>
        </row>
        <row r="160">
          <cell r="B160">
            <v>300</v>
          </cell>
          <cell r="C160" t="str">
            <v>سكر ناعم - المشربية</v>
          </cell>
          <cell r="D160" t="str">
            <v>مواد غذائية (المشربية)</v>
          </cell>
          <cell r="E160" t="str">
            <v>كيلو</v>
          </cell>
          <cell r="F160" t="str">
            <v>مشتريات مباشرة</v>
          </cell>
          <cell r="G160">
            <v>3.07</v>
          </cell>
          <cell r="H160" t="str">
            <v/>
          </cell>
        </row>
        <row r="161">
          <cell r="B161">
            <v>323</v>
          </cell>
          <cell r="C161" t="str">
            <v>ينسون خيط - المشربية</v>
          </cell>
          <cell r="D161" t="str">
            <v>مواد غذائية (المشربية)</v>
          </cell>
          <cell r="E161" t="str">
            <v>حبة</v>
          </cell>
          <cell r="F161" t="str">
            <v>مشتريات مباشرة</v>
          </cell>
          <cell r="G161">
            <v>0.52520500000000003</v>
          </cell>
          <cell r="H161">
            <v>0.5474</v>
          </cell>
        </row>
        <row r="162">
          <cell r="B162">
            <v>324</v>
          </cell>
          <cell r="C162" t="str">
            <v>نعناع خيط - المشربية</v>
          </cell>
          <cell r="D162" t="str">
            <v>مواد غذائية (المشربية)</v>
          </cell>
          <cell r="E162" t="str">
            <v>علبة</v>
          </cell>
          <cell r="F162" t="str">
            <v>مشتريات مباشرة</v>
          </cell>
          <cell r="G162">
            <v>0.52500000000000002</v>
          </cell>
          <cell r="H162">
            <v>0.52516666666666678</v>
          </cell>
        </row>
        <row r="163">
          <cell r="B163">
            <v>327</v>
          </cell>
          <cell r="C163" t="str">
            <v>سكر بني أظرف - المشربية</v>
          </cell>
          <cell r="D163" t="str">
            <v>مواد غذائية (المشربية)</v>
          </cell>
          <cell r="E163" t="str">
            <v>بكت</v>
          </cell>
          <cell r="F163" t="str">
            <v>مشتريات مباشرة</v>
          </cell>
          <cell r="G163">
            <v>9.1999999999999998E-2</v>
          </cell>
          <cell r="H163" t="str">
            <v/>
          </cell>
        </row>
        <row r="164">
          <cell r="B164">
            <v>328</v>
          </cell>
          <cell r="C164" t="str">
            <v>ترمس حلو - المشربية</v>
          </cell>
          <cell r="D164" t="str">
            <v>مواد غذائية (المشربية)</v>
          </cell>
          <cell r="E164" t="str">
            <v>كيلو</v>
          </cell>
          <cell r="F164" t="str">
            <v>مشتريات مباشرة</v>
          </cell>
          <cell r="G164">
            <v>8.0500000000000007</v>
          </cell>
          <cell r="H164" t="str">
            <v/>
          </cell>
        </row>
        <row r="165">
          <cell r="B165">
            <v>357</v>
          </cell>
          <cell r="C165" t="str">
            <v>قهوة تركي - المشربية</v>
          </cell>
          <cell r="D165" t="str">
            <v>مواد غذائية (المشربية)</v>
          </cell>
          <cell r="E165" t="str">
            <v>كيلو</v>
          </cell>
          <cell r="F165" t="str">
            <v>مشتريات مباشرة</v>
          </cell>
          <cell r="G165">
            <v>80</v>
          </cell>
          <cell r="H165">
            <v>79.999749999999992</v>
          </cell>
        </row>
        <row r="166">
          <cell r="B166">
            <v>367</v>
          </cell>
          <cell r="C166" t="str">
            <v>قهوة اسبريسو - المشربية</v>
          </cell>
          <cell r="D166" t="str">
            <v>مواد غذائية (المشربية)</v>
          </cell>
          <cell r="E166" t="str">
            <v>كيلو</v>
          </cell>
          <cell r="F166" t="str">
            <v>مشتريات مباشرة</v>
          </cell>
          <cell r="G166">
            <v>73.928571428571431</v>
          </cell>
          <cell r="H166">
            <v>73.600000000000009</v>
          </cell>
        </row>
        <row r="167">
          <cell r="B167">
            <v>375</v>
          </cell>
          <cell r="C167" t="str">
            <v>شاي أخضر خيط - المشربية</v>
          </cell>
          <cell r="D167" t="str">
            <v>مواد غذائية (المشربية)</v>
          </cell>
          <cell r="E167" t="str">
            <v>علبة</v>
          </cell>
          <cell r="F167" t="str">
            <v>مشتريات مباشرة</v>
          </cell>
          <cell r="G167">
            <v>0.31299933333333335</v>
          </cell>
          <cell r="H167">
            <v>0.39904999999999996</v>
          </cell>
        </row>
        <row r="168">
          <cell r="B168">
            <v>377</v>
          </cell>
          <cell r="C168" t="str">
            <v>قرنفل حب - المشربية</v>
          </cell>
          <cell r="D168" t="str">
            <v>مواد غذائية (المشربية)</v>
          </cell>
          <cell r="E168" t="str">
            <v>كيلو</v>
          </cell>
          <cell r="F168" t="str">
            <v>مشتريات مباشرة</v>
          </cell>
          <cell r="G168">
            <v>46.29</v>
          </cell>
          <cell r="H168" t="str">
            <v/>
          </cell>
        </row>
        <row r="169">
          <cell r="B169">
            <v>382</v>
          </cell>
          <cell r="C169" t="str">
            <v>فشار البطل كراميل - المشربية</v>
          </cell>
          <cell r="D169" t="str">
            <v>مواد غذائية (المشربية)</v>
          </cell>
          <cell r="E169" t="str">
            <v>كيس</v>
          </cell>
          <cell r="F169" t="str">
            <v>مشتريات مباشرة</v>
          </cell>
          <cell r="G169">
            <v>5.6758767195767188</v>
          </cell>
          <cell r="H169">
            <v>5.4625000000000004</v>
          </cell>
        </row>
        <row r="170">
          <cell r="B170">
            <v>391</v>
          </cell>
          <cell r="C170" t="str">
            <v>شاي الربيع 100 خيط - المشربية</v>
          </cell>
          <cell r="D170" t="str">
            <v>مواد غذائية (المشربية)</v>
          </cell>
          <cell r="E170" t="str">
            <v>علبة</v>
          </cell>
          <cell r="F170" t="str">
            <v>مشتريات مباشرة</v>
          </cell>
          <cell r="G170">
            <v>0.12112638973421053</v>
          </cell>
          <cell r="H170">
            <v>0.12937499999999999</v>
          </cell>
        </row>
        <row r="171">
          <cell r="B171">
            <v>392</v>
          </cell>
          <cell r="C171" t="str">
            <v>شاي الكبوس فرط - المشربية</v>
          </cell>
          <cell r="D171" t="str">
            <v>مواد غذائية (المشربية)</v>
          </cell>
          <cell r="E171" t="str">
            <v>كيلو</v>
          </cell>
          <cell r="F171" t="str">
            <v>مشتريات مباشرة</v>
          </cell>
          <cell r="G171">
            <v>32.549999999999997</v>
          </cell>
          <cell r="H171" t="str">
            <v/>
          </cell>
        </row>
        <row r="172">
          <cell r="B172">
            <v>393</v>
          </cell>
          <cell r="C172" t="str">
            <v>زنجبيل بودرة - المشربية</v>
          </cell>
          <cell r="D172" t="str">
            <v>مواد غذائية (المشربية)</v>
          </cell>
          <cell r="E172" t="str">
            <v>كيلو</v>
          </cell>
          <cell r="F172" t="str">
            <v>مشتريات مباشرة</v>
          </cell>
          <cell r="G172">
            <v>15.56</v>
          </cell>
          <cell r="H172" t="str">
            <v/>
          </cell>
        </row>
        <row r="173">
          <cell r="B173">
            <v>394</v>
          </cell>
          <cell r="C173" t="str">
            <v>شاي ليبتون 100 خيط - المشربية</v>
          </cell>
          <cell r="D173" t="str">
            <v>مواد غذائية (المشربية)</v>
          </cell>
          <cell r="E173" t="str">
            <v>علبة</v>
          </cell>
          <cell r="F173" t="str">
            <v>مشتريات مباشرة</v>
          </cell>
          <cell r="G173">
            <v>0.1994997</v>
          </cell>
          <cell r="H173" t="str">
            <v/>
          </cell>
        </row>
        <row r="174">
          <cell r="B174">
            <v>395</v>
          </cell>
          <cell r="C174" t="str">
            <v>مربى الفراولة - المشربية</v>
          </cell>
          <cell r="D174" t="str">
            <v>مواد غذائية (المشربية)</v>
          </cell>
          <cell r="E174" t="str">
            <v>كيلو</v>
          </cell>
          <cell r="F174" t="str">
            <v>مشتريات مباشرة</v>
          </cell>
          <cell r="G174">
            <v>10</v>
          </cell>
          <cell r="H174" t="str">
            <v/>
          </cell>
        </row>
        <row r="175">
          <cell r="B175">
            <v>406</v>
          </cell>
          <cell r="C175" t="str">
            <v>آيس كريم فانيلا 2 لتر - المشربية</v>
          </cell>
          <cell r="D175" t="str">
            <v>مواد غذائية (المشربية)</v>
          </cell>
          <cell r="E175" t="str">
            <v>لتر</v>
          </cell>
          <cell r="F175" t="str">
            <v>مشتريات مباشرة</v>
          </cell>
          <cell r="G175">
            <v>12.11985</v>
          </cell>
          <cell r="H175">
            <v>13.385872222222224</v>
          </cell>
        </row>
        <row r="176">
          <cell r="B176">
            <v>410</v>
          </cell>
          <cell r="C176" t="str">
            <v>سيروب بندق - المشربية</v>
          </cell>
          <cell r="D176" t="str">
            <v>مواد غذائية (المشربية)</v>
          </cell>
          <cell r="E176" t="str">
            <v>لتر</v>
          </cell>
          <cell r="F176" t="str">
            <v>مشتريات مباشرة</v>
          </cell>
          <cell r="G176">
            <v>0</v>
          </cell>
          <cell r="H176" t="str">
            <v/>
          </cell>
        </row>
        <row r="177">
          <cell r="B177">
            <v>412</v>
          </cell>
          <cell r="C177" t="str">
            <v>سيروب بطيخ - المشربية</v>
          </cell>
          <cell r="D177" t="str">
            <v>مواد غذائية (المشربية)</v>
          </cell>
          <cell r="E177" t="str">
            <v>لتر</v>
          </cell>
          <cell r="F177" t="str">
            <v>مشتريات مباشرة</v>
          </cell>
          <cell r="G177">
            <v>0</v>
          </cell>
          <cell r="H177" t="str">
            <v/>
          </cell>
        </row>
        <row r="178">
          <cell r="B178">
            <v>413</v>
          </cell>
          <cell r="C178" t="str">
            <v>سيروب رمان - المشربية</v>
          </cell>
          <cell r="D178" t="str">
            <v>مواد غذائية (المشربية)</v>
          </cell>
          <cell r="E178" t="str">
            <v>لتر</v>
          </cell>
          <cell r="F178" t="str">
            <v>مشتريات مباشرة</v>
          </cell>
          <cell r="G178">
            <v>0</v>
          </cell>
          <cell r="H178" t="str">
            <v/>
          </cell>
        </row>
        <row r="179">
          <cell r="B179">
            <v>415</v>
          </cell>
          <cell r="C179" t="str">
            <v>هوت شوكليت - المشربية</v>
          </cell>
          <cell r="D179" t="str">
            <v>مواد غذائية (المشربية)</v>
          </cell>
          <cell r="E179" t="str">
            <v>لتر</v>
          </cell>
          <cell r="F179" t="str">
            <v>مشتريات مباشرة</v>
          </cell>
          <cell r="G179">
            <v>63.165999999999997</v>
          </cell>
          <cell r="H179">
            <v>63.166049999999991</v>
          </cell>
        </row>
        <row r="180">
          <cell r="B180">
            <v>416</v>
          </cell>
          <cell r="C180" t="str">
            <v>صوص شوكلاته - المشربية 2 ونص كيلو</v>
          </cell>
          <cell r="D180" t="str">
            <v>مواد غذائية (المشربية)</v>
          </cell>
          <cell r="E180" t="str">
            <v>لتر</v>
          </cell>
          <cell r="F180" t="str">
            <v>مشتريات مباشرة</v>
          </cell>
          <cell r="G180">
            <v>61.153549999999996</v>
          </cell>
          <cell r="H180" t="str">
            <v/>
          </cell>
        </row>
        <row r="181">
          <cell r="B181">
            <v>418</v>
          </cell>
          <cell r="C181" t="str">
            <v>صوص كراميل - المشربية</v>
          </cell>
          <cell r="D181" t="str">
            <v>مواد غذائية (المشربية)</v>
          </cell>
          <cell r="E181" t="str">
            <v>لتر</v>
          </cell>
          <cell r="F181" t="str">
            <v>مشتريات مباشرة</v>
          </cell>
          <cell r="G181">
            <v>0</v>
          </cell>
          <cell r="H181" t="str">
            <v/>
          </cell>
        </row>
        <row r="182">
          <cell r="B182">
            <v>423</v>
          </cell>
          <cell r="C182" t="str">
            <v>قهوة بندق - المشربية</v>
          </cell>
          <cell r="D182" t="str">
            <v>مواد غذائية (المشربية)</v>
          </cell>
          <cell r="E182" t="str">
            <v>كيلو</v>
          </cell>
          <cell r="F182" t="str">
            <v>مشتريات مباشرة</v>
          </cell>
          <cell r="G182">
            <v>99.2</v>
          </cell>
          <cell r="H182">
            <v>106.65882000000001</v>
          </cell>
        </row>
        <row r="183">
          <cell r="B183">
            <v>435</v>
          </cell>
          <cell r="C183" t="str">
            <v>لوتس مطحون - المشربية</v>
          </cell>
          <cell r="D183" t="str">
            <v>مواد غذائية (المشربية)</v>
          </cell>
          <cell r="E183" t="str">
            <v>كيلو</v>
          </cell>
          <cell r="F183" t="str">
            <v>مشتريات مباشرة</v>
          </cell>
          <cell r="G183">
            <v>0</v>
          </cell>
          <cell r="H183" t="str">
            <v/>
          </cell>
        </row>
        <row r="184">
          <cell r="B184">
            <v>442</v>
          </cell>
          <cell r="C184" t="str">
            <v>مكسرات مشكلة - المشربية</v>
          </cell>
          <cell r="D184" t="str">
            <v>مواد غذائية (المشربية)</v>
          </cell>
          <cell r="E184" t="str">
            <v>كيلو</v>
          </cell>
          <cell r="F184" t="str">
            <v>مشتريات مباشرة</v>
          </cell>
          <cell r="G184">
            <v>86.414694991423673</v>
          </cell>
          <cell r="H184">
            <v>75.659718656716421</v>
          </cell>
        </row>
        <row r="185">
          <cell r="B185">
            <v>450</v>
          </cell>
          <cell r="C185" t="str">
            <v>لب مشكل - المشربية</v>
          </cell>
          <cell r="D185" t="str">
            <v>مواد غذائية (المشربية)</v>
          </cell>
          <cell r="E185" t="str">
            <v>كيلو</v>
          </cell>
          <cell r="F185" t="str">
            <v>مشتريات مباشرة</v>
          </cell>
          <cell r="G185">
            <v>33.434935357056567</v>
          </cell>
          <cell r="H185">
            <v>32.629277963088136</v>
          </cell>
        </row>
        <row r="186">
          <cell r="B186">
            <v>455</v>
          </cell>
          <cell r="C186" t="str">
            <v>كريمة لوتس 8 كيلو - المشربية</v>
          </cell>
          <cell r="D186" t="str">
            <v>مواد غذائية (المشربية)</v>
          </cell>
          <cell r="E186" t="str">
            <v>كيلو</v>
          </cell>
          <cell r="F186" t="str">
            <v>مشتريات مباشرة</v>
          </cell>
          <cell r="G186">
            <v>0</v>
          </cell>
          <cell r="H186" t="str">
            <v/>
          </cell>
        </row>
        <row r="187">
          <cell r="B187">
            <v>468</v>
          </cell>
          <cell r="C187" t="str">
            <v>كريمة كندر 5 كيلو - المشربية</v>
          </cell>
          <cell r="D187" t="str">
            <v>مواد غذائية (المشربية)</v>
          </cell>
          <cell r="E187" t="str">
            <v>كيلو</v>
          </cell>
          <cell r="F187" t="str">
            <v>مشتريات مباشرة</v>
          </cell>
          <cell r="G187">
            <v>0</v>
          </cell>
          <cell r="H187" t="str">
            <v/>
          </cell>
        </row>
        <row r="188">
          <cell r="B188">
            <v>469</v>
          </cell>
          <cell r="C188" t="str">
            <v>صوص بستاشيو 5.5 كيلو - المشربية</v>
          </cell>
          <cell r="D188" t="str">
            <v>مواد غذائية (المشربية)</v>
          </cell>
          <cell r="E188" t="str">
            <v>كيلو</v>
          </cell>
          <cell r="F188" t="str">
            <v>مشتريات مباشرة</v>
          </cell>
          <cell r="G188">
            <v>0</v>
          </cell>
          <cell r="H188" t="str">
            <v/>
          </cell>
        </row>
        <row r="189">
          <cell r="B189">
            <v>478</v>
          </cell>
          <cell r="C189" t="str">
            <v>بسكويت كندر</v>
          </cell>
          <cell r="D189" t="str">
            <v>مواد غذائية (المشربية)</v>
          </cell>
          <cell r="E189" t="str">
            <v>حبة</v>
          </cell>
          <cell r="F189" t="str">
            <v>مشتريات مباشرة</v>
          </cell>
          <cell r="G189">
            <v>3.5</v>
          </cell>
          <cell r="H189" t="str">
            <v/>
          </cell>
        </row>
        <row r="190">
          <cell r="B190">
            <v>479</v>
          </cell>
          <cell r="C190" t="str">
            <v>بسكويت لوتس</v>
          </cell>
          <cell r="D190" t="str">
            <v>مواد غذائية (المشربية)</v>
          </cell>
          <cell r="E190" t="str">
            <v>حبة</v>
          </cell>
          <cell r="F190" t="str">
            <v>مشتريات مباشرة</v>
          </cell>
          <cell r="G190">
            <v>0.30772257111111112</v>
          </cell>
          <cell r="H190">
            <v>0.28749999999999998</v>
          </cell>
        </row>
        <row r="191">
          <cell r="B191">
            <v>482</v>
          </cell>
          <cell r="C191" t="str">
            <v>جبنة فيلادلفيا كريم 500 جرام</v>
          </cell>
          <cell r="D191" t="str">
            <v>مواد غذائية (المشربية)</v>
          </cell>
          <cell r="E191" t="str">
            <v>علبة</v>
          </cell>
          <cell r="F191" t="str">
            <v>مشتريات مباشرة</v>
          </cell>
          <cell r="G191">
            <v>62.9</v>
          </cell>
          <cell r="H191" t="str">
            <v/>
          </cell>
        </row>
        <row r="192">
          <cell r="B192">
            <v>483</v>
          </cell>
          <cell r="C192" t="str">
            <v>بسكويت أوريو</v>
          </cell>
          <cell r="D192" t="str">
            <v>مواد غذائية (المشربية)</v>
          </cell>
          <cell r="E192" t="str">
            <v>حبة</v>
          </cell>
          <cell r="F192" t="str">
            <v>مشتريات مباشرة</v>
          </cell>
          <cell r="G192">
            <v>0.83</v>
          </cell>
          <cell r="H192" t="str">
            <v/>
          </cell>
        </row>
        <row r="193">
          <cell r="B193">
            <v>484</v>
          </cell>
          <cell r="C193" t="str">
            <v>كريمة عابد</v>
          </cell>
          <cell r="D193" t="str">
            <v>مواد غذائية (المشربية)</v>
          </cell>
          <cell r="E193" t="str">
            <v>لتر</v>
          </cell>
          <cell r="F193" t="str">
            <v>مشتريات مباشرة</v>
          </cell>
          <cell r="G193">
            <v>16.085707142857142</v>
          </cell>
          <cell r="H193">
            <v>13.8</v>
          </cell>
        </row>
        <row r="194">
          <cell r="B194">
            <v>485</v>
          </cell>
          <cell r="C194" t="str">
            <v>سحلب - المشربية</v>
          </cell>
          <cell r="D194" t="str">
            <v>مواد غذائية (المشربية)</v>
          </cell>
          <cell r="E194" t="str">
            <v>كيلو</v>
          </cell>
          <cell r="F194" t="str">
            <v>مشتريات مباشرة</v>
          </cell>
          <cell r="G194">
            <v>36.361311702127658</v>
          </cell>
          <cell r="H194" t="str">
            <v/>
          </cell>
        </row>
        <row r="195">
          <cell r="B195">
            <v>487</v>
          </cell>
          <cell r="C195" t="str">
            <v xml:space="preserve">بيج بودر </v>
          </cell>
          <cell r="D195" t="str">
            <v>مواد غذائية (المشربية)</v>
          </cell>
          <cell r="E195" t="str">
            <v>كيلو</v>
          </cell>
          <cell r="F195" t="str">
            <v>مشتريات مباشرة</v>
          </cell>
          <cell r="G195">
            <v>12.9</v>
          </cell>
          <cell r="H195">
            <v>15.045136363636361</v>
          </cell>
        </row>
        <row r="196">
          <cell r="B196">
            <v>488</v>
          </cell>
          <cell r="C196" t="str">
            <v>فانيلا</v>
          </cell>
          <cell r="D196" t="str">
            <v>مواد غذائية (المشربية)</v>
          </cell>
          <cell r="E196" t="str">
            <v>كيلو</v>
          </cell>
          <cell r="F196" t="str">
            <v>مشتريات مباشرة</v>
          </cell>
          <cell r="G196">
            <v>2.9992000000000001</v>
          </cell>
          <cell r="H196">
            <v>2.4172999999999996</v>
          </cell>
        </row>
        <row r="197">
          <cell r="B197">
            <v>489</v>
          </cell>
          <cell r="C197" t="str">
            <v>عسل 1 كيلو</v>
          </cell>
          <cell r="D197" t="str">
            <v>مواد غذائية (المشربية)</v>
          </cell>
          <cell r="E197" t="str">
            <v>كيلو</v>
          </cell>
          <cell r="F197" t="str">
            <v>مشتريات مباشرة</v>
          </cell>
          <cell r="G197">
            <v>47.001419999999996</v>
          </cell>
          <cell r="H197">
            <v>47.899799999999999</v>
          </cell>
        </row>
        <row r="198">
          <cell r="B198">
            <v>492</v>
          </cell>
          <cell r="C198" t="str">
            <v>دريم ويب شانتيه 144 جرام - المشربية</v>
          </cell>
          <cell r="D198" t="str">
            <v>مواد غذائية (المشربية)</v>
          </cell>
          <cell r="E198" t="str">
            <v>علبة</v>
          </cell>
          <cell r="F198" t="str">
            <v>مشتريات مباشرة</v>
          </cell>
          <cell r="G198">
            <v>91.64</v>
          </cell>
          <cell r="H198" t="str">
            <v/>
          </cell>
        </row>
        <row r="199">
          <cell r="B199">
            <v>497</v>
          </cell>
          <cell r="C199" t="str">
            <v>نوتيلا شكولاته 3 كيلو - المشربية</v>
          </cell>
          <cell r="D199" t="str">
            <v>مواد غذائية (المشربية)</v>
          </cell>
          <cell r="E199" t="str">
            <v>كيلو</v>
          </cell>
          <cell r="F199" t="str">
            <v>مشتريات مباشرة</v>
          </cell>
          <cell r="G199">
            <v>35.15</v>
          </cell>
          <cell r="H199" t="str">
            <v/>
          </cell>
        </row>
        <row r="200">
          <cell r="B200">
            <v>557</v>
          </cell>
          <cell r="C200" t="str">
            <v>شاي انجليزي</v>
          </cell>
          <cell r="D200" t="str">
            <v>مواد غذائية (المشربية)</v>
          </cell>
          <cell r="E200" t="str">
            <v>كيلو</v>
          </cell>
          <cell r="F200" t="str">
            <v>مشتريات مباشرة</v>
          </cell>
          <cell r="G200">
            <v>0</v>
          </cell>
          <cell r="H200" t="str">
            <v/>
          </cell>
        </row>
        <row r="201">
          <cell r="B201">
            <v>602</v>
          </cell>
          <cell r="C201" t="str">
            <v>زبيب</v>
          </cell>
          <cell r="D201" t="str">
            <v>مواد غذائية (المشربية)</v>
          </cell>
          <cell r="E201" t="str">
            <v>كيلو</v>
          </cell>
          <cell r="F201" t="str">
            <v>مشتريات مباشرة</v>
          </cell>
          <cell r="G201">
            <v>17.25</v>
          </cell>
          <cell r="H201" t="str">
            <v/>
          </cell>
        </row>
        <row r="202">
          <cell r="B202">
            <v>790</v>
          </cell>
          <cell r="C202" t="str">
            <v>زيت دلال 17 لتر</v>
          </cell>
          <cell r="D202" t="str">
            <v>مواد غذائية (المشربية)</v>
          </cell>
          <cell r="E202" t="str">
            <v>تنك</v>
          </cell>
          <cell r="F202" t="str">
            <v>الفارس العالمي</v>
          </cell>
          <cell r="G202">
            <v>105.8</v>
          </cell>
          <cell r="H202" t="str">
            <v/>
          </cell>
        </row>
        <row r="203">
          <cell r="B203">
            <v>739</v>
          </cell>
          <cell r="C203" t="str">
            <v>استربس كرتونة 10كيس * 750 جرام</v>
          </cell>
          <cell r="D203" t="str">
            <v>مواد غذائية (المشربية)</v>
          </cell>
          <cell r="E203" t="str">
            <v>كيلو</v>
          </cell>
          <cell r="F203" t="str">
            <v>امريكانا</v>
          </cell>
          <cell r="G203">
            <v>27.420281325301204</v>
          </cell>
          <cell r="H203">
            <v>26.45</v>
          </cell>
        </row>
        <row r="204">
          <cell r="B204">
            <v>628</v>
          </cell>
          <cell r="C204" t="str">
            <v>فول مجروش</v>
          </cell>
          <cell r="D204" t="str">
            <v>مواد غذائية (المشربية)</v>
          </cell>
          <cell r="E204" t="str">
            <v>كيلو</v>
          </cell>
          <cell r="F204" t="str">
            <v>مشتريات مباشرة</v>
          </cell>
          <cell r="G204">
            <v>26.385599999999997</v>
          </cell>
          <cell r="H204" t="str">
            <v/>
          </cell>
        </row>
        <row r="205">
          <cell r="B205">
            <v>624</v>
          </cell>
          <cell r="C205" t="str">
            <v>جبنة كرافت</v>
          </cell>
          <cell r="D205" t="str">
            <v>مواد غذائية (المشربية)</v>
          </cell>
          <cell r="E205" t="str">
            <v>كيلو</v>
          </cell>
          <cell r="F205" t="str">
            <v>مشتريات مباشرة</v>
          </cell>
          <cell r="G205">
            <v>31.61</v>
          </cell>
          <cell r="H205" t="str">
            <v/>
          </cell>
        </row>
        <row r="206">
          <cell r="B206">
            <v>622</v>
          </cell>
          <cell r="C206" t="str">
            <v>مرقة دجاج ماجى</v>
          </cell>
          <cell r="D206" t="str">
            <v>مواد غذائية (المشربية)</v>
          </cell>
          <cell r="E206" t="str">
            <v>كيلو</v>
          </cell>
          <cell r="F206" t="str">
            <v>مشتريات مباشرة</v>
          </cell>
          <cell r="G206">
            <v>27.7</v>
          </cell>
          <cell r="H206" t="str">
            <v/>
          </cell>
        </row>
        <row r="207">
          <cell r="B207">
            <v>621</v>
          </cell>
          <cell r="C207" t="str">
            <v>معجون طماطم</v>
          </cell>
          <cell r="D207" t="str">
            <v>مواد غذائية (المشربية)</v>
          </cell>
          <cell r="E207" t="str">
            <v>علبة</v>
          </cell>
          <cell r="F207" t="str">
            <v>مشتريات مباشرة</v>
          </cell>
          <cell r="G207">
            <v>12.15</v>
          </cell>
          <cell r="H207" t="str">
            <v/>
          </cell>
        </row>
        <row r="208">
          <cell r="B208">
            <v>601</v>
          </cell>
          <cell r="C208" t="str">
            <v>جوز هند مطحون</v>
          </cell>
          <cell r="D208" t="str">
            <v>مواد غذائية (المشربية)</v>
          </cell>
          <cell r="E208" t="str">
            <v>كيلو</v>
          </cell>
          <cell r="F208" t="str">
            <v>مشتريات مباشرة</v>
          </cell>
          <cell r="G208">
            <v>20.13</v>
          </cell>
          <cell r="H208" t="str">
            <v/>
          </cell>
        </row>
        <row r="209">
          <cell r="B209">
            <v>680</v>
          </cell>
          <cell r="C209" t="str">
            <v>فول حب</v>
          </cell>
          <cell r="D209" t="str">
            <v>مواد غذائية (المشربية)</v>
          </cell>
          <cell r="E209" t="str">
            <v>كيلو</v>
          </cell>
          <cell r="F209" t="str">
            <v>مشتريات مباشرة</v>
          </cell>
          <cell r="G209">
            <v>8.8219053578336535</v>
          </cell>
          <cell r="H209">
            <v>10.317438571428571</v>
          </cell>
        </row>
        <row r="210">
          <cell r="B210">
            <v>735</v>
          </cell>
          <cell r="C210" t="str">
            <v>قشطة</v>
          </cell>
          <cell r="D210" t="str">
            <v>مواد غذائية (المشربية)</v>
          </cell>
          <cell r="E210" t="str">
            <v>كيلو</v>
          </cell>
          <cell r="F210" t="str">
            <v>مشتريات مباشرة</v>
          </cell>
          <cell r="G210">
            <v>39.999299999999991</v>
          </cell>
          <cell r="H210" t="str">
            <v/>
          </cell>
        </row>
        <row r="211">
          <cell r="B211">
            <v>760</v>
          </cell>
          <cell r="C211" t="str">
            <v>جبنة رومي</v>
          </cell>
          <cell r="D211" t="str">
            <v>مواد غذائية (المشربية)</v>
          </cell>
          <cell r="E211" t="str">
            <v>كيلو</v>
          </cell>
          <cell r="F211" t="str">
            <v>مشتريات مباشرة</v>
          </cell>
          <cell r="G211">
            <v>49.95</v>
          </cell>
          <cell r="H211">
            <v>42.999649999999995</v>
          </cell>
        </row>
        <row r="212">
          <cell r="B212">
            <v>775</v>
          </cell>
          <cell r="C212" t="str">
            <v>بندق ابيض</v>
          </cell>
          <cell r="D212" t="str">
            <v>مواد غذائية (المشربية)</v>
          </cell>
          <cell r="E212" t="str">
            <v>كيلو</v>
          </cell>
          <cell r="F212" t="str">
            <v>الجميل</v>
          </cell>
          <cell r="G212">
            <v>86.25</v>
          </cell>
          <cell r="H212" t="str">
            <v/>
          </cell>
        </row>
        <row r="213">
          <cell r="B213">
            <v>776</v>
          </cell>
          <cell r="C213" t="str">
            <v>فسدق مبشور</v>
          </cell>
          <cell r="D213" t="str">
            <v>مواد غذائية (المشربية)</v>
          </cell>
          <cell r="E213" t="str">
            <v>كيلو</v>
          </cell>
          <cell r="F213" t="str">
            <v>الجميل</v>
          </cell>
          <cell r="G213">
            <v>69</v>
          </cell>
          <cell r="H213" t="str">
            <v/>
          </cell>
        </row>
        <row r="214">
          <cell r="B214">
            <v>736</v>
          </cell>
          <cell r="C214" t="str">
            <v>حلاة الجميل</v>
          </cell>
          <cell r="D214" t="str">
            <v>مواد غذائية (المشربية)</v>
          </cell>
          <cell r="E214" t="str">
            <v>كيلو</v>
          </cell>
          <cell r="F214" t="str">
            <v>الجميل</v>
          </cell>
          <cell r="G214">
            <v>12.94</v>
          </cell>
          <cell r="H214" t="str">
            <v/>
          </cell>
        </row>
        <row r="215">
          <cell r="B215">
            <v>737</v>
          </cell>
          <cell r="C215" t="str">
            <v>جبنة كيري</v>
          </cell>
          <cell r="D215" t="str">
            <v>مواد غذائية (المشربية)</v>
          </cell>
          <cell r="E215" t="str">
            <v>حبة</v>
          </cell>
          <cell r="F215" t="str">
            <v>مشتريات مباشرة</v>
          </cell>
          <cell r="G215">
            <v>0.82364656000000003</v>
          </cell>
          <cell r="H215">
            <v>0.99935000000000007</v>
          </cell>
        </row>
        <row r="216">
          <cell r="B216">
            <v>738</v>
          </cell>
          <cell r="C216" t="str">
            <v>مخلل مشكل المشربية</v>
          </cell>
          <cell r="D216" t="str">
            <v>مواد غذائية (المشربية)</v>
          </cell>
          <cell r="E216" t="str">
            <v>كيلو</v>
          </cell>
          <cell r="F216" t="str">
            <v>مشتريات مباشرة</v>
          </cell>
          <cell r="G216">
            <v>3.5</v>
          </cell>
          <cell r="H216" t="str">
            <v/>
          </cell>
        </row>
        <row r="217">
          <cell r="B217">
            <v>753</v>
          </cell>
          <cell r="C217" t="str">
            <v>صوص شطة حار</v>
          </cell>
          <cell r="D217" t="str">
            <v>مواد غذائية (المشربية)</v>
          </cell>
          <cell r="E217" t="str">
            <v>كيلو</v>
          </cell>
          <cell r="F217" t="str">
            <v>مشتريات مباشرة</v>
          </cell>
          <cell r="G217">
            <v>4.7770999999999999</v>
          </cell>
          <cell r="H217">
            <v>4.7770999999999999</v>
          </cell>
        </row>
        <row r="218">
          <cell r="B218">
            <v>778</v>
          </cell>
          <cell r="C218" t="str">
            <v>عدس احمر</v>
          </cell>
          <cell r="D218" t="str">
            <v>مواد غذائية (المشربية)</v>
          </cell>
          <cell r="E218" t="str">
            <v>كيلو</v>
          </cell>
          <cell r="F218" t="str">
            <v>مشتريات مباشرة</v>
          </cell>
          <cell r="G218">
            <v>4.5999999999999996</v>
          </cell>
          <cell r="H218" t="str">
            <v/>
          </cell>
        </row>
        <row r="219">
          <cell r="B219">
            <v>618</v>
          </cell>
          <cell r="C219" t="str">
            <v>بسطرمة</v>
          </cell>
          <cell r="D219" t="str">
            <v>مواد غذائية (المشربية)</v>
          </cell>
          <cell r="E219" t="str">
            <v>كيلو</v>
          </cell>
          <cell r="F219" t="str">
            <v>الجوهرة</v>
          </cell>
          <cell r="G219">
            <v>147.09873737623764</v>
          </cell>
          <cell r="H219">
            <v>156.67507569134702</v>
          </cell>
        </row>
        <row r="220">
          <cell r="B220">
            <v>475</v>
          </cell>
          <cell r="C220" t="str">
            <v>زيت قلي العربي 17 لتر</v>
          </cell>
          <cell r="D220" t="str">
            <v>مواد غذائية (المشربية)</v>
          </cell>
          <cell r="E220" t="str">
            <v>تنك</v>
          </cell>
          <cell r="F220" t="str">
            <v>الفارس العالمي</v>
          </cell>
          <cell r="G220">
            <v>110.49476</v>
          </cell>
          <cell r="H220">
            <v>121.01277499999999</v>
          </cell>
        </row>
        <row r="221">
          <cell r="B221">
            <v>299</v>
          </cell>
          <cell r="C221" t="str">
            <v>سكر بنى</v>
          </cell>
          <cell r="D221" t="str">
            <v>مواد غذائية (المشربية)</v>
          </cell>
          <cell r="E221" t="str">
            <v>كيلو</v>
          </cell>
          <cell r="F221" t="str">
            <v>مشتريات مباشرة</v>
          </cell>
          <cell r="G221">
            <v>16.7</v>
          </cell>
          <cell r="H221" t="str">
            <v/>
          </cell>
        </row>
        <row r="222">
          <cell r="B222">
            <v>749</v>
          </cell>
          <cell r="C222" t="str">
            <v>خلطة بهارات مشكله</v>
          </cell>
          <cell r="D222" t="str">
            <v>مواد غذائية (المشربية)</v>
          </cell>
          <cell r="E222" t="str">
            <v>كيلو</v>
          </cell>
          <cell r="F222" t="str">
            <v>مشتريات مباشرة</v>
          </cell>
          <cell r="G222">
            <v>38.119999999999997</v>
          </cell>
          <cell r="H222" t="str">
            <v/>
          </cell>
        </row>
        <row r="223">
          <cell r="B223">
            <v>817</v>
          </cell>
          <cell r="C223" t="str">
            <v>عصير برتقال الربيع</v>
          </cell>
          <cell r="D223" t="str">
            <v>المشروبات (المشربية)</v>
          </cell>
          <cell r="E223" t="str">
            <v>حبة</v>
          </cell>
          <cell r="F223" t="str">
            <v>مشتريات مباشرة</v>
          </cell>
          <cell r="G223">
            <v>1.63</v>
          </cell>
          <cell r="H223" t="str">
            <v/>
          </cell>
        </row>
        <row r="224">
          <cell r="B224">
            <v>629</v>
          </cell>
          <cell r="C224" t="str">
            <v>كود ريد كبير250مم</v>
          </cell>
          <cell r="D224" t="str">
            <v>المشروبات (المشربية)</v>
          </cell>
          <cell r="E224" t="str">
            <v>كرتون</v>
          </cell>
          <cell r="F224" t="str">
            <v>مشتريات مباشرة</v>
          </cell>
          <cell r="G224">
            <v>136.99949999999998</v>
          </cell>
          <cell r="H224">
            <v>136.99949999999998</v>
          </cell>
        </row>
        <row r="225">
          <cell r="B225">
            <v>637</v>
          </cell>
          <cell r="C225" t="str">
            <v>كود ريد صغير185 مم</v>
          </cell>
          <cell r="D225" t="str">
            <v>المشروبات (المشربية)</v>
          </cell>
          <cell r="E225" t="str">
            <v>كرتون</v>
          </cell>
          <cell r="F225" t="str">
            <v>مشتريات مباشرة</v>
          </cell>
          <cell r="G225">
            <v>91.17</v>
          </cell>
          <cell r="H225" t="str">
            <v/>
          </cell>
        </row>
        <row r="226">
          <cell r="B226">
            <v>2</v>
          </cell>
          <cell r="C226" t="str">
            <v>كوكاكولا  24*250مل</v>
          </cell>
          <cell r="D226" t="str">
            <v>المشروبات (طحينة)</v>
          </cell>
          <cell r="E226" t="str">
            <v>كرتون</v>
          </cell>
          <cell r="F226" t="str">
            <v>كوكاكولا</v>
          </cell>
          <cell r="G226">
            <v>49.493512896825401</v>
          </cell>
          <cell r="H226">
            <v>49.105000000000004</v>
          </cell>
        </row>
        <row r="227">
          <cell r="B227">
            <v>3</v>
          </cell>
          <cell r="C227" t="str">
            <v>كوكاكولا زيرو 24*250مل</v>
          </cell>
          <cell r="D227" t="str">
            <v>المشروبات (طحينة)</v>
          </cell>
          <cell r="E227" t="str">
            <v>كرتون</v>
          </cell>
          <cell r="F227" t="str">
            <v>كوكاكولا</v>
          </cell>
          <cell r="G227">
            <v>53.049500000000009</v>
          </cell>
          <cell r="H227">
            <v>49.105062727272731</v>
          </cell>
        </row>
        <row r="228">
          <cell r="B228">
            <v>4</v>
          </cell>
          <cell r="C228" t="str">
            <v>كوكاكولا لايت 24*250مل</v>
          </cell>
          <cell r="D228" t="str">
            <v>المشروبات (طحينة)</v>
          </cell>
          <cell r="E228" t="str">
            <v>كرتون</v>
          </cell>
          <cell r="F228" t="str">
            <v>كوكاكولا</v>
          </cell>
          <cell r="G228">
            <v>53.056930769230767</v>
          </cell>
          <cell r="H228">
            <v>49.104999999999997</v>
          </cell>
        </row>
        <row r="229">
          <cell r="B229">
            <v>5</v>
          </cell>
          <cell r="C229" t="str">
            <v>سبرايت 24*250مل</v>
          </cell>
          <cell r="D229" t="str">
            <v>المشروبات (طحينة)</v>
          </cell>
          <cell r="E229" t="str">
            <v>كرتون</v>
          </cell>
          <cell r="F229" t="str">
            <v>كوكاكولا</v>
          </cell>
          <cell r="G229">
            <v>49.273731092436982</v>
          </cell>
          <cell r="H229">
            <v>49.104999999999997</v>
          </cell>
        </row>
        <row r="230">
          <cell r="B230">
            <v>6</v>
          </cell>
          <cell r="C230" t="str">
            <v>مياه بيرين 40*330مل</v>
          </cell>
          <cell r="D230" t="str">
            <v>المشروبات (طحينة)</v>
          </cell>
          <cell r="E230" t="str">
            <v>كرتون</v>
          </cell>
          <cell r="F230" t="str">
            <v>شركة برين</v>
          </cell>
          <cell r="G230">
            <v>14.375</v>
          </cell>
          <cell r="H230">
            <v>14.375</v>
          </cell>
        </row>
        <row r="231">
          <cell r="B231">
            <v>682</v>
          </cell>
          <cell r="C231" t="str">
            <v>بيبسي</v>
          </cell>
          <cell r="D231" t="str">
            <v>مشروبات ( باك ستريت)</v>
          </cell>
          <cell r="E231" t="str">
            <v>كرتون</v>
          </cell>
          <cell r="F231" t="str">
            <v>عبدالهادي القحطاني</v>
          </cell>
          <cell r="G231">
            <v>0</v>
          </cell>
          <cell r="H231" t="str">
            <v/>
          </cell>
        </row>
        <row r="232">
          <cell r="B232">
            <v>630</v>
          </cell>
          <cell r="C232" t="str">
            <v>سفن أب 24*250مل</v>
          </cell>
          <cell r="D232" t="str">
            <v>مشروبات ( باك ستريت)</v>
          </cell>
          <cell r="E232" t="str">
            <v>كرتون</v>
          </cell>
          <cell r="F232" t="str">
            <v>عبدالهادي القحطاني</v>
          </cell>
          <cell r="G232">
            <v>44.48</v>
          </cell>
          <cell r="H232" t="str">
            <v/>
          </cell>
        </row>
        <row r="233">
          <cell r="B233">
            <v>698</v>
          </cell>
          <cell r="C233" t="str">
            <v>ميرندا</v>
          </cell>
          <cell r="D233" t="str">
            <v>مشروبات ( باك ستريت)</v>
          </cell>
          <cell r="E233" t="str">
            <v>كرتون</v>
          </cell>
          <cell r="F233" t="str">
            <v>عبدالهادي القحطاني</v>
          </cell>
          <cell r="G233">
            <v>0</v>
          </cell>
          <cell r="H233" t="str">
            <v/>
          </cell>
        </row>
        <row r="234">
          <cell r="B234">
            <v>796</v>
          </cell>
          <cell r="C234" t="str">
            <v>بيبسي دايت</v>
          </cell>
          <cell r="D234" t="str">
            <v>مشروبات ( باك ستريت)</v>
          </cell>
          <cell r="E234" t="str">
            <v>كرتون</v>
          </cell>
          <cell r="F234" t="str">
            <v>عبدالهادي القحطاني</v>
          </cell>
          <cell r="G234">
            <v>0</v>
          </cell>
          <cell r="H234" t="str">
            <v/>
          </cell>
        </row>
        <row r="235">
          <cell r="B235">
            <v>797</v>
          </cell>
          <cell r="C235" t="str">
            <v>ديو</v>
          </cell>
          <cell r="D235" t="str">
            <v>مشروبات ( باك ستريت)</v>
          </cell>
          <cell r="E235" t="str">
            <v>كرتون</v>
          </cell>
          <cell r="F235" t="str">
            <v>عبدالهادي القحطاني</v>
          </cell>
          <cell r="G235">
            <v>0</v>
          </cell>
          <cell r="H235" t="str">
            <v/>
          </cell>
        </row>
        <row r="236">
          <cell r="B236">
            <v>690</v>
          </cell>
          <cell r="C236" t="str">
            <v>سيزار اناناس</v>
          </cell>
          <cell r="D236" t="str">
            <v>مشروبات ( باك ستريت)</v>
          </cell>
          <cell r="E236" t="str">
            <v>كرتون</v>
          </cell>
          <cell r="F236" t="str">
            <v>مشتريات مباشرة</v>
          </cell>
          <cell r="G236">
            <v>0</v>
          </cell>
          <cell r="H236" t="str">
            <v/>
          </cell>
        </row>
        <row r="237">
          <cell r="B237">
            <v>815</v>
          </cell>
          <cell r="C237" t="str">
            <v>سيزار برتقال جزر</v>
          </cell>
          <cell r="D237" t="str">
            <v>مشروبات ( باك ستريت)</v>
          </cell>
          <cell r="E237" t="str">
            <v>كرتون</v>
          </cell>
          <cell r="F237" t="str">
            <v>مشتريات مباشرة</v>
          </cell>
          <cell r="G237">
            <v>0</v>
          </cell>
          <cell r="H237" t="str">
            <v/>
          </cell>
        </row>
        <row r="238">
          <cell r="B238">
            <v>816</v>
          </cell>
          <cell r="C238" t="str">
            <v>سيزار مشكل</v>
          </cell>
          <cell r="D238" t="str">
            <v>مشروبات ( باك ستريت)</v>
          </cell>
          <cell r="E238" t="str">
            <v>كرتون</v>
          </cell>
          <cell r="F238" t="str">
            <v>مشتريات مباشرة</v>
          </cell>
          <cell r="G238">
            <v>0</v>
          </cell>
          <cell r="H238" t="str">
            <v/>
          </cell>
        </row>
        <row r="239">
          <cell r="B239">
            <v>851</v>
          </cell>
          <cell r="C239" t="str">
            <v>معسل بطيخ نعناع 500 جرام</v>
          </cell>
          <cell r="D239" t="str">
            <v>الشيشة</v>
          </cell>
          <cell r="E239" t="str">
            <v>باكت</v>
          </cell>
          <cell r="F239" t="str">
            <v>معسلات المشربية</v>
          </cell>
          <cell r="G239">
            <v>134</v>
          </cell>
          <cell r="H239">
            <v>134.99965</v>
          </cell>
        </row>
        <row r="240">
          <cell r="B240">
            <v>359</v>
          </cell>
          <cell r="C240" t="str">
            <v>لي شيشة بلاستيك - المشربية</v>
          </cell>
          <cell r="D240" t="str">
            <v>الشيشة</v>
          </cell>
          <cell r="E240" t="str">
            <v>حبة</v>
          </cell>
          <cell r="F240" t="str">
            <v>معسلات المشربية</v>
          </cell>
          <cell r="G240">
            <v>0.60000100000000001</v>
          </cell>
          <cell r="H240">
            <v>0.64193958333333334</v>
          </cell>
        </row>
        <row r="241">
          <cell r="B241">
            <v>384</v>
          </cell>
          <cell r="C241" t="str">
            <v>فحم شيشة - المشربية</v>
          </cell>
          <cell r="D241" t="str">
            <v>الشيشة</v>
          </cell>
          <cell r="E241" t="str">
            <v>باكت</v>
          </cell>
          <cell r="F241" t="str">
            <v>معسلات المشربية</v>
          </cell>
          <cell r="G241">
            <v>12.000159210526316</v>
          </cell>
          <cell r="H241">
            <v>13.931492045454547</v>
          </cell>
        </row>
        <row r="242">
          <cell r="B242">
            <v>385</v>
          </cell>
          <cell r="C242" t="str">
            <v>قصدير شيشة - المشربية</v>
          </cell>
          <cell r="D242" t="str">
            <v>الشيشة</v>
          </cell>
          <cell r="E242" t="str">
            <v>رول</v>
          </cell>
          <cell r="F242" t="str">
            <v>معسلات المشربية</v>
          </cell>
          <cell r="G242">
            <v>4.9952550000000002</v>
          </cell>
          <cell r="H242">
            <v>5.1876499999999997</v>
          </cell>
        </row>
        <row r="243">
          <cell r="B243">
            <v>397</v>
          </cell>
          <cell r="C243" t="str">
            <v>معسل تفاحتين الفاخر 500 جرام - المشربية</v>
          </cell>
          <cell r="D243" t="str">
            <v>الشيشة</v>
          </cell>
          <cell r="E243" t="str">
            <v>باكت</v>
          </cell>
          <cell r="F243" t="str">
            <v>معسلات المشربية</v>
          </cell>
          <cell r="G243">
            <v>139.99985000000001</v>
          </cell>
          <cell r="H243">
            <v>139.99985000000001</v>
          </cell>
        </row>
        <row r="244">
          <cell r="B244">
            <v>402</v>
          </cell>
          <cell r="C244" t="str">
            <v>لي شيشة زجاج شفاف - المشربية</v>
          </cell>
          <cell r="D244" t="str">
            <v>الشيشة</v>
          </cell>
          <cell r="E244" t="str">
            <v>حبة</v>
          </cell>
          <cell r="F244" t="str">
            <v>معسلات المشربية</v>
          </cell>
          <cell r="G244">
            <v>1.3998489999999999</v>
          </cell>
          <cell r="H244">
            <v>1.4999886999999998</v>
          </cell>
        </row>
        <row r="245">
          <cell r="B245">
            <v>403</v>
          </cell>
          <cell r="C245" t="str">
            <v>مبسم شيشة - المشربية</v>
          </cell>
          <cell r="D245" t="str">
            <v>الشيشة</v>
          </cell>
          <cell r="E245" t="str">
            <v>كيس</v>
          </cell>
          <cell r="F245" t="str">
            <v>معسلات المشربية</v>
          </cell>
          <cell r="G245">
            <v>2.1567009803921571</v>
          </cell>
          <cell r="H245" t="str">
            <v/>
          </cell>
        </row>
        <row r="246">
          <cell r="B246">
            <v>420</v>
          </cell>
          <cell r="C246" t="str">
            <v>لي شيشة هفان - المشربية</v>
          </cell>
          <cell r="D246" t="str">
            <v>الشيشة</v>
          </cell>
          <cell r="E246" t="str">
            <v>حبة</v>
          </cell>
          <cell r="F246" t="str">
            <v>معسلات المشربية</v>
          </cell>
          <cell r="G246">
            <v>0</v>
          </cell>
          <cell r="H246" t="str">
            <v/>
          </cell>
        </row>
        <row r="247">
          <cell r="B247">
            <v>443</v>
          </cell>
          <cell r="C247" t="str">
            <v>معسل تفاحتين نخلة 500 جرام - المشربية</v>
          </cell>
          <cell r="D247" t="str">
            <v>الشيشة</v>
          </cell>
          <cell r="E247" t="str">
            <v>باكت</v>
          </cell>
          <cell r="F247" t="str">
            <v>معسلات المشربية</v>
          </cell>
          <cell r="G247">
            <v>145.62493124999997</v>
          </cell>
          <cell r="H247">
            <v>145.00005000000002</v>
          </cell>
        </row>
        <row r="248">
          <cell r="B248">
            <v>451</v>
          </cell>
          <cell r="C248" t="str">
            <v>معسل بطيخ 250 جرام  - المشربية</v>
          </cell>
          <cell r="D248" t="str">
            <v>الشيشة</v>
          </cell>
          <cell r="E248" t="str">
            <v>بكت</v>
          </cell>
          <cell r="F248" t="str">
            <v>معسلات المشربية</v>
          </cell>
          <cell r="G248">
            <v>76</v>
          </cell>
          <cell r="H248" t="str">
            <v/>
          </cell>
        </row>
        <row r="249">
          <cell r="B249">
            <v>456</v>
          </cell>
          <cell r="C249" t="str">
            <v>معسل بطيخ 500 جرام - المشربية</v>
          </cell>
          <cell r="D249" t="str">
            <v>الشيشة</v>
          </cell>
          <cell r="E249" t="str">
            <v>بكت</v>
          </cell>
          <cell r="F249" t="str">
            <v>معسلات المشربية</v>
          </cell>
          <cell r="G249">
            <v>134</v>
          </cell>
          <cell r="H249" t="str">
            <v/>
          </cell>
        </row>
        <row r="250">
          <cell r="B250">
            <v>457</v>
          </cell>
          <cell r="C250" t="str">
            <v>معسل عنب توت 500 جرام - المشربية</v>
          </cell>
          <cell r="D250" t="str">
            <v>الشيشة</v>
          </cell>
          <cell r="E250" t="str">
            <v>بكت</v>
          </cell>
          <cell r="F250" t="str">
            <v>معسلات المشربية</v>
          </cell>
          <cell r="G250">
            <v>135.58790882352943</v>
          </cell>
          <cell r="H250">
            <v>134.99999499999998</v>
          </cell>
        </row>
        <row r="251">
          <cell r="B251">
            <v>458</v>
          </cell>
          <cell r="C251" t="str">
            <v>معسل عنب نعناع 500 جرام - المشربية</v>
          </cell>
          <cell r="D251" t="str">
            <v>الشيشة</v>
          </cell>
          <cell r="E251" t="str">
            <v>بكت</v>
          </cell>
          <cell r="F251" t="str">
            <v>معسلات المشربية</v>
          </cell>
          <cell r="G251">
            <v>134.99958947368421</v>
          </cell>
          <cell r="H251">
            <v>134.99999500000001</v>
          </cell>
        </row>
        <row r="252">
          <cell r="B252">
            <v>460</v>
          </cell>
          <cell r="C252" t="str">
            <v>معسل ليمون نعناع 500 جرام - المشربية</v>
          </cell>
          <cell r="D252" t="str">
            <v>الشيشة</v>
          </cell>
          <cell r="E252" t="str">
            <v>بكت</v>
          </cell>
          <cell r="F252" t="str">
            <v>معسلات المشربية</v>
          </cell>
          <cell r="G252">
            <v>134.99955416666666</v>
          </cell>
          <cell r="H252">
            <v>134.99965</v>
          </cell>
        </row>
        <row r="253">
          <cell r="B253">
            <v>465</v>
          </cell>
          <cell r="C253" t="str">
            <v>معسل تفاحتين الفاخر 300 جرام- المشربيه</v>
          </cell>
          <cell r="D253" t="str">
            <v>الشيشة</v>
          </cell>
          <cell r="E253" t="str">
            <v>بكت</v>
          </cell>
          <cell r="F253" t="str">
            <v>معسلات المشربية</v>
          </cell>
          <cell r="G253">
            <v>134</v>
          </cell>
          <cell r="H253" t="str">
            <v/>
          </cell>
        </row>
        <row r="254">
          <cell r="B254">
            <v>466</v>
          </cell>
          <cell r="C254" t="str">
            <v>معسل بلو بيري الفاخر 500 جرام - المشربية</v>
          </cell>
          <cell r="D254" t="str">
            <v>الشيشة</v>
          </cell>
          <cell r="E254" t="str">
            <v>بكت</v>
          </cell>
          <cell r="F254" t="str">
            <v>معسلات المشربية</v>
          </cell>
          <cell r="G254">
            <v>134.99965</v>
          </cell>
          <cell r="H254">
            <v>134.99965</v>
          </cell>
        </row>
        <row r="255">
          <cell r="B255">
            <v>473</v>
          </cell>
          <cell r="C255" t="str">
            <v>معسل مستكة 500 جرام - المشربية</v>
          </cell>
          <cell r="D255" t="str">
            <v>الشيشة</v>
          </cell>
          <cell r="E255" t="str">
            <v>بكت</v>
          </cell>
          <cell r="F255" t="str">
            <v>معسلات المشربية</v>
          </cell>
          <cell r="G255">
            <v>135</v>
          </cell>
          <cell r="H255" t="str">
            <v/>
          </cell>
        </row>
        <row r="256">
          <cell r="B256">
            <v>499</v>
          </cell>
          <cell r="C256" t="str">
            <v>معسل عنب 500 جرام - المشربية</v>
          </cell>
          <cell r="D256" t="str">
            <v>الشيشة</v>
          </cell>
          <cell r="E256" t="str">
            <v>بكت</v>
          </cell>
          <cell r="F256" t="str">
            <v>معسلات المشربية</v>
          </cell>
          <cell r="G256">
            <v>135.000225</v>
          </cell>
          <cell r="H256">
            <v>134.99965</v>
          </cell>
        </row>
        <row r="257">
          <cell r="B257">
            <v>508</v>
          </cell>
          <cell r="C257" t="str">
            <v>جلبة لي شيشة -المشربية</v>
          </cell>
          <cell r="D257" t="str">
            <v>الشيشة</v>
          </cell>
          <cell r="E257" t="str">
            <v>بكت</v>
          </cell>
          <cell r="F257" t="str">
            <v>معسلات المشربية</v>
          </cell>
          <cell r="G257">
            <v>0</v>
          </cell>
          <cell r="H257" t="str">
            <v/>
          </cell>
        </row>
        <row r="258">
          <cell r="B258">
            <v>513</v>
          </cell>
          <cell r="C258" t="str">
            <v>معسل بلو بيري الفاخر 300 جرام - المشربية</v>
          </cell>
          <cell r="D258" t="str">
            <v>الشيشة</v>
          </cell>
          <cell r="E258" t="str">
            <v>باكت</v>
          </cell>
          <cell r="F258" t="str">
            <v>معسلات المشربية</v>
          </cell>
          <cell r="G258">
            <v>134</v>
          </cell>
          <cell r="H258" t="str">
            <v/>
          </cell>
        </row>
        <row r="259">
          <cell r="B259">
            <v>550</v>
          </cell>
          <cell r="C259" t="str">
            <v xml:space="preserve"> نكهة شيشة</v>
          </cell>
          <cell r="D259" t="str">
            <v>الشيشة</v>
          </cell>
          <cell r="E259" t="str">
            <v>بكت</v>
          </cell>
          <cell r="F259" t="str">
            <v>معسلات المشربية</v>
          </cell>
          <cell r="G259">
            <v>0</v>
          </cell>
          <cell r="H259" t="str">
            <v/>
          </cell>
        </row>
        <row r="260">
          <cell r="B260">
            <v>553</v>
          </cell>
          <cell r="C260" t="str">
            <v>ابرة شيشة خرام راس مسمار</v>
          </cell>
          <cell r="D260" t="str">
            <v>الشيشة</v>
          </cell>
          <cell r="E260" t="str">
            <v>حبة</v>
          </cell>
          <cell r="F260" t="str">
            <v>معسلات المشربية</v>
          </cell>
          <cell r="G260">
            <v>1.0004999999999999</v>
          </cell>
          <cell r="H260" t="str">
            <v/>
          </cell>
        </row>
        <row r="261">
          <cell r="B261">
            <v>606</v>
          </cell>
          <cell r="C261" t="str">
            <v>معسل نعناع 250 جرام  - المشربية</v>
          </cell>
          <cell r="D261" t="str">
            <v>الشيشة</v>
          </cell>
          <cell r="E261" t="str">
            <v>باكت</v>
          </cell>
          <cell r="F261" t="str">
            <v>معسلات المشربية</v>
          </cell>
          <cell r="G261">
            <v>0</v>
          </cell>
          <cell r="H261" t="str">
            <v/>
          </cell>
        </row>
        <row r="262">
          <cell r="B262">
            <v>607</v>
          </cell>
          <cell r="C262" t="str">
            <v>معسل علكة نعناع 250 جرام  - المشربية</v>
          </cell>
          <cell r="D262" t="str">
            <v>الشيشة</v>
          </cell>
          <cell r="E262" t="str">
            <v>باكت</v>
          </cell>
          <cell r="F262" t="str">
            <v>معسلات المشربية</v>
          </cell>
          <cell r="G262">
            <v>62.5</v>
          </cell>
          <cell r="H262">
            <v>62.499049999999997</v>
          </cell>
        </row>
        <row r="263">
          <cell r="B263">
            <v>608</v>
          </cell>
          <cell r="C263" t="str">
            <v>معسل بطيخ نعناع 250 جرام  - المشربية</v>
          </cell>
          <cell r="D263" t="str">
            <v>الشيشة</v>
          </cell>
          <cell r="E263" t="str">
            <v>باكت</v>
          </cell>
          <cell r="F263" t="str">
            <v>معسلات المشربية</v>
          </cell>
          <cell r="G263">
            <v>67.500399999999999</v>
          </cell>
          <cell r="H263">
            <v>70.000500000000002</v>
          </cell>
        </row>
        <row r="264">
          <cell r="B264">
            <v>792</v>
          </cell>
          <cell r="C264" t="str">
            <v>معسل نعناع 500جرام</v>
          </cell>
          <cell r="D264" t="str">
            <v>الشيشة</v>
          </cell>
          <cell r="E264" t="str">
            <v>باكت</v>
          </cell>
          <cell r="F264" t="str">
            <v>معسلات المشربية</v>
          </cell>
          <cell r="G264">
            <v>134.99965</v>
          </cell>
          <cell r="H264">
            <v>134.99965</v>
          </cell>
        </row>
        <row r="265">
          <cell r="B265">
            <v>811</v>
          </cell>
          <cell r="C265" t="str">
            <v>معسل عنب نعناع 300جرام</v>
          </cell>
          <cell r="D265" t="str">
            <v>الشيشة</v>
          </cell>
          <cell r="E265" t="str">
            <v>باكت</v>
          </cell>
          <cell r="F265" t="str">
            <v>معسلات المشربية</v>
          </cell>
          <cell r="G265">
            <v>65</v>
          </cell>
          <cell r="H265" t="str">
            <v/>
          </cell>
        </row>
        <row r="266">
          <cell r="B266">
            <v>812</v>
          </cell>
          <cell r="C266" t="str">
            <v>معسل ليمون نعناع 300جرام</v>
          </cell>
          <cell r="D266" t="str">
            <v>الشيشة</v>
          </cell>
          <cell r="E266" t="str">
            <v>باكت</v>
          </cell>
          <cell r="F266" t="str">
            <v>معسلات المشربية</v>
          </cell>
          <cell r="G266">
            <v>65</v>
          </cell>
          <cell r="H266" t="str">
            <v/>
          </cell>
        </row>
        <row r="267">
          <cell r="B267">
            <v>177</v>
          </cell>
          <cell r="C267" t="str">
            <v>رول تغليف 6 كيلو</v>
          </cell>
          <cell r="D267" t="str">
            <v>تعبئة وتغليف (طحينة)</v>
          </cell>
          <cell r="E267" t="str">
            <v>رول</v>
          </cell>
          <cell r="F267" t="str">
            <v>معسلات المشربية</v>
          </cell>
          <cell r="G267">
            <v>0</v>
          </cell>
          <cell r="H267" t="str">
            <v/>
          </cell>
        </row>
        <row r="268">
          <cell r="B268">
            <v>13</v>
          </cell>
          <cell r="C268" t="str">
            <v>علب طحينة 2</v>
          </cell>
          <cell r="D268" t="str">
            <v>تعبئة وتغليف (طحينة)</v>
          </cell>
          <cell r="E268" t="str">
            <v>حبة</v>
          </cell>
          <cell r="F268" t="str">
            <v>واد العطاء</v>
          </cell>
          <cell r="G268">
            <v>4.1825925925925926E-2</v>
          </cell>
          <cell r="H268">
            <v>5.0599999999999999E-2</v>
          </cell>
        </row>
        <row r="269">
          <cell r="B269">
            <v>139</v>
          </cell>
          <cell r="C269" t="str">
            <v>علب طماطم 4</v>
          </cell>
          <cell r="D269" t="str">
            <v>تعبئة وتغليف (طحينة)</v>
          </cell>
          <cell r="E269" t="str">
            <v>حبة</v>
          </cell>
          <cell r="F269" t="str">
            <v>واد العطاء</v>
          </cell>
          <cell r="G269">
            <v>8.8819148936170211E-2</v>
          </cell>
          <cell r="H269">
            <v>9.1999999999999998E-2</v>
          </cell>
        </row>
        <row r="270">
          <cell r="B270">
            <v>390</v>
          </cell>
          <cell r="C270" t="str">
            <v>ملاعق مغلفة أسود - مطبوع طحينة</v>
          </cell>
          <cell r="D270" t="str">
            <v>تعبئة وتغليف (طحينة)</v>
          </cell>
          <cell r="E270" t="str">
            <v>حبة</v>
          </cell>
          <cell r="F270" t="str">
            <v>واد العطاء</v>
          </cell>
          <cell r="G270">
            <v>0.1012</v>
          </cell>
          <cell r="H270">
            <v>0.1104</v>
          </cell>
        </row>
        <row r="271">
          <cell r="B271">
            <v>463</v>
          </cell>
          <cell r="C271" t="str">
            <v>أطباق قنبلة بلاستيك</v>
          </cell>
          <cell r="D271" t="str">
            <v>تعبئة وتغليف (طحينة)</v>
          </cell>
          <cell r="E271" t="str">
            <v>حبة</v>
          </cell>
          <cell r="F271" t="str">
            <v>واد العطاء</v>
          </cell>
          <cell r="G271">
            <v>0.30244999999999994</v>
          </cell>
          <cell r="H271">
            <v>0.29899999999999999</v>
          </cell>
        </row>
        <row r="272">
          <cell r="B272">
            <v>117</v>
          </cell>
          <cell r="C272" t="str">
            <v>أطباق فلين كبير</v>
          </cell>
          <cell r="D272" t="str">
            <v>تعبئة وتغليف (طحينة)</v>
          </cell>
          <cell r="E272" t="str">
            <v>حبة</v>
          </cell>
          <cell r="F272" t="str">
            <v>واد العطاء</v>
          </cell>
          <cell r="G272">
            <v>0.18284999999999998</v>
          </cell>
          <cell r="H272">
            <v>0.2162</v>
          </cell>
        </row>
        <row r="273">
          <cell r="B273">
            <v>118</v>
          </cell>
          <cell r="C273" t="str">
            <v>أطباق فلين صغير</v>
          </cell>
          <cell r="D273" t="str">
            <v>تعبئة وتغليف (طحينة)</v>
          </cell>
          <cell r="E273" t="str">
            <v>حبة</v>
          </cell>
          <cell r="F273" t="str">
            <v>واد العطاء</v>
          </cell>
          <cell r="G273">
            <v>0.10925</v>
          </cell>
          <cell r="H273">
            <v>0.15640000000000001</v>
          </cell>
        </row>
        <row r="274">
          <cell r="B274">
            <v>48</v>
          </cell>
          <cell r="C274" t="str">
            <v>رول زبدة للخبز</v>
          </cell>
          <cell r="D274" t="str">
            <v>تعبئة وتغليف (طحينة)</v>
          </cell>
          <cell r="E274" t="str">
            <v>رول</v>
          </cell>
          <cell r="F274" t="str">
            <v>الظاهرى</v>
          </cell>
          <cell r="G274">
            <v>4.3604167049999996</v>
          </cell>
          <cell r="H274">
            <v>5.1749999999999998</v>
          </cell>
        </row>
        <row r="275">
          <cell r="B275">
            <v>571</v>
          </cell>
          <cell r="C275" t="str">
            <v>أكياس شفاف نايلون خبز</v>
          </cell>
          <cell r="D275" t="str">
            <v>تعبئة وتغليف (طحينة)</v>
          </cell>
          <cell r="E275" t="str">
            <v>كيلو</v>
          </cell>
          <cell r="F275" t="str">
            <v>الظاهرى</v>
          </cell>
          <cell r="G275">
            <v>7.7193750383333333</v>
          </cell>
          <cell r="H275">
            <v>7.4749999999999996</v>
          </cell>
        </row>
        <row r="276">
          <cell r="B276">
            <v>517</v>
          </cell>
          <cell r="C276" t="str">
            <v>أكياس اسطف شدة مقاس 22</v>
          </cell>
          <cell r="D276" t="str">
            <v>تعبئة وتغليف (طحينة)</v>
          </cell>
          <cell r="E276" t="str">
            <v>كيلو</v>
          </cell>
          <cell r="F276" t="str">
            <v>الظاهرى</v>
          </cell>
          <cell r="G276">
            <v>6.4814000000000007</v>
          </cell>
          <cell r="H276" t="str">
            <v/>
          </cell>
        </row>
        <row r="277">
          <cell r="B277">
            <v>158</v>
          </cell>
          <cell r="C277" t="str">
            <v>أعواد أسنان</v>
          </cell>
          <cell r="D277" t="str">
            <v>تعبئة وتغليف (طحينة)</v>
          </cell>
          <cell r="E277" t="str">
            <v>بكت 1000 حبة</v>
          </cell>
          <cell r="F277" t="str">
            <v>الظاهرى</v>
          </cell>
          <cell r="G277">
            <v>5.75</v>
          </cell>
          <cell r="H277" t="str">
            <v/>
          </cell>
        </row>
        <row r="278">
          <cell r="B278">
            <v>191</v>
          </cell>
          <cell r="C278" t="str">
            <v>أكياس بهارات 6</v>
          </cell>
          <cell r="D278" t="str">
            <v>تعبئة وتغليف (طحينة)</v>
          </cell>
          <cell r="E278" t="str">
            <v>كيلو</v>
          </cell>
          <cell r="F278" t="str">
            <v>الظاهرى</v>
          </cell>
          <cell r="G278">
            <v>7.4749999999999996</v>
          </cell>
          <cell r="H278" t="str">
            <v/>
          </cell>
        </row>
        <row r="279">
          <cell r="B279">
            <v>192</v>
          </cell>
          <cell r="C279" t="str">
            <v>أكياس بهارات 8</v>
          </cell>
          <cell r="D279" t="str">
            <v>تعبئة وتغليف (طحينة)</v>
          </cell>
          <cell r="E279" t="str">
            <v>كيلو</v>
          </cell>
          <cell r="F279" t="str">
            <v>الظاهرى</v>
          </cell>
          <cell r="G279">
            <v>7.76</v>
          </cell>
          <cell r="H279" t="str">
            <v/>
          </cell>
        </row>
        <row r="280">
          <cell r="B280">
            <v>10</v>
          </cell>
          <cell r="C280" t="str">
            <v>صحن مشاوي ألمنيوم</v>
          </cell>
          <cell r="D280" t="str">
            <v>تعبئة وتغليف (طحينة)</v>
          </cell>
          <cell r="E280" t="str">
            <v>حبة</v>
          </cell>
          <cell r="F280" t="str">
            <v>واد العطاء</v>
          </cell>
          <cell r="G280">
            <v>0.16807692307692307</v>
          </cell>
          <cell r="H280">
            <v>0.24149999999999999</v>
          </cell>
        </row>
        <row r="281">
          <cell r="B281">
            <v>18</v>
          </cell>
          <cell r="C281" t="str">
            <v>أطباق ورق حواوشي</v>
          </cell>
          <cell r="D281" t="str">
            <v>تعبئة وتغليف (طحينة)</v>
          </cell>
          <cell r="E281" t="str">
            <v>حبة</v>
          </cell>
          <cell r="F281" t="str">
            <v>واد العطاء</v>
          </cell>
          <cell r="G281">
            <v>5.3743318000000005E-2</v>
          </cell>
          <cell r="H281">
            <v>5.5199999999999999E-2</v>
          </cell>
        </row>
        <row r="282">
          <cell r="B282">
            <v>791</v>
          </cell>
          <cell r="C282" t="str">
            <v xml:space="preserve">رول قصدير 30سم *1350 جرام </v>
          </cell>
          <cell r="D282" t="str">
            <v>تعبئة وتغليف (طحينة)</v>
          </cell>
          <cell r="E282" t="str">
            <v>رول</v>
          </cell>
          <cell r="F282" t="str">
            <v>واد العطاء</v>
          </cell>
          <cell r="G282">
            <v>22.401161578125002</v>
          </cell>
          <cell r="H282">
            <v>30.66705</v>
          </cell>
        </row>
        <row r="283">
          <cell r="B283">
            <v>26</v>
          </cell>
          <cell r="C283" t="str">
            <v>مناديل سفرة</v>
          </cell>
          <cell r="D283" t="str">
            <v>تعبئة وتغليف (طحينة)</v>
          </cell>
          <cell r="E283" t="str">
            <v>حبة</v>
          </cell>
          <cell r="F283" t="str">
            <v>الظاهرى</v>
          </cell>
          <cell r="G283">
            <v>3.4599999999999999E-2</v>
          </cell>
          <cell r="H283" t="str">
            <v/>
          </cell>
        </row>
        <row r="284">
          <cell r="B284">
            <v>178</v>
          </cell>
          <cell r="C284" t="str">
            <v>مناديل معطرة غير مطبوع</v>
          </cell>
          <cell r="D284" t="str">
            <v>تعبئة وتغليف (طحينة)</v>
          </cell>
          <cell r="E284" t="str">
            <v>حبة</v>
          </cell>
          <cell r="F284" t="str">
            <v>فيرم</v>
          </cell>
          <cell r="G284">
            <v>0</v>
          </cell>
          <cell r="H284" t="str">
            <v/>
          </cell>
        </row>
        <row r="285">
          <cell r="B285">
            <v>476</v>
          </cell>
          <cell r="C285" t="str">
            <v>ورق بطاطس مسطح</v>
          </cell>
          <cell r="D285" t="str">
            <v>تعبئة وتغليف (طحينة)</v>
          </cell>
          <cell r="E285" t="str">
            <v>حبة</v>
          </cell>
          <cell r="F285" t="str">
            <v>فيرم</v>
          </cell>
          <cell r="G285">
            <v>0</v>
          </cell>
          <cell r="H285" t="str">
            <v/>
          </cell>
        </row>
        <row r="286">
          <cell r="B286">
            <v>535</v>
          </cell>
          <cell r="C286" t="str">
            <v>رول تغليف 5 كيلو</v>
          </cell>
          <cell r="D286" t="str">
            <v>تعبئة وتغليف (طحينة)</v>
          </cell>
          <cell r="E286" t="str">
            <v>رول</v>
          </cell>
          <cell r="F286" t="str">
            <v>واد العطاء</v>
          </cell>
          <cell r="G286">
            <v>38.837719298245617</v>
          </cell>
          <cell r="H286">
            <v>46</v>
          </cell>
        </row>
        <row r="287">
          <cell r="B287">
            <v>11</v>
          </cell>
          <cell r="C287" t="str">
            <v>رول قصدير</v>
          </cell>
          <cell r="D287" t="str">
            <v>تعبئة وتغليف (طحينة)</v>
          </cell>
          <cell r="E287" t="str">
            <v>رول</v>
          </cell>
          <cell r="F287" t="str">
            <v>ابوسهم</v>
          </cell>
          <cell r="G287">
            <v>17.25</v>
          </cell>
          <cell r="H287" t="str">
            <v/>
          </cell>
        </row>
        <row r="288">
          <cell r="B288">
            <v>593</v>
          </cell>
          <cell r="C288" t="str">
            <v>شوك مغلفة أسود - غير مطبوع</v>
          </cell>
          <cell r="D288" t="str">
            <v>تعبئة وتغليف (المشربية)</v>
          </cell>
          <cell r="E288" t="str">
            <v>حبة</v>
          </cell>
          <cell r="F288" t="str">
            <v>الظاهرى</v>
          </cell>
          <cell r="G288">
            <v>8.6249999999999993E-2</v>
          </cell>
          <cell r="H288" t="str">
            <v/>
          </cell>
        </row>
        <row r="289">
          <cell r="B289">
            <v>594</v>
          </cell>
          <cell r="C289" t="str">
            <v>ملاعق مغلفة أسود - غير مطبوع</v>
          </cell>
          <cell r="D289" t="str">
            <v>تعبئة وتغليف (المشربية)</v>
          </cell>
          <cell r="E289" t="str">
            <v>حبة</v>
          </cell>
          <cell r="F289" t="str">
            <v>الظاهرى</v>
          </cell>
          <cell r="G289">
            <v>0.10349999999999999</v>
          </cell>
          <cell r="H289" t="str">
            <v/>
          </cell>
        </row>
        <row r="290">
          <cell r="B290">
            <v>379</v>
          </cell>
          <cell r="C290" t="str">
            <v>أكواب شاي ورقية - المشربية</v>
          </cell>
          <cell r="D290" t="str">
            <v>تعبئة وتغليف (المشربية)</v>
          </cell>
          <cell r="E290" t="str">
            <v>حبة</v>
          </cell>
          <cell r="F290" t="str">
            <v>الظاهرى</v>
          </cell>
          <cell r="G290">
            <v>0.26214390243902441</v>
          </cell>
          <cell r="H290" t="str">
            <v/>
          </cell>
        </row>
        <row r="291">
          <cell r="B291">
            <v>380</v>
          </cell>
          <cell r="C291" t="str">
            <v>أكواب عصير شفاف - المشربية</v>
          </cell>
          <cell r="D291" t="str">
            <v>تعبئة وتغليف (المشربية)</v>
          </cell>
          <cell r="E291" t="str">
            <v>حبة</v>
          </cell>
          <cell r="F291" t="str">
            <v>الظاهرى</v>
          </cell>
          <cell r="G291">
            <v>0.21274999999999999</v>
          </cell>
          <cell r="H291" t="str">
            <v/>
          </cell>
        </row>
        <row r="292">
          <cell r="B292">
            <v>389</v>
          </cell>
          <cell r="C292" t="str">
            <v>شنطة سفري أبيض 36</v>
          </cell>
          <cell r="D292" t="str">
            <v>تعبئة وتغليف (المشربية)</v>
          </cell>
          <cell r="E292" t="str">
            <v>حبة</v>
          </cell>
          <cell r="F292" t="str">
            <v>مشتريات مباشرة</v>
          </cell>
          <cell r="G292">
            <v>0.72</v>
          </cell>
          <cell r="H292" t="str">
            <v/>
          </cell>
        </row>
        <row r="293">
          <cell r="B293">
            <v>404</v>
          </cell>
          <cell r="C293" t="str">
            <v>أعواد تحريك-المشربية</v>
          </cell>
          <cell r="D293" t="str">
            <v>تعبئة وتغليف (المشربية)</v>
          </cell>
          <cell r="E293" t="str">
            <v>بكت</v>
          </cell>
          <cell r="F293" t="str">
            <v>مشتريات مباشرة</v>
          </cell>
          <cell r="G293">
            <v>4.8875000000000002</v>
          </cell>
          <cell r="H293" t="str">
            <v/>
          </cell>
        </row>
        <row r="294">
          <cell r="B294">
            <v>437</v>
          </cell>
          <cell r="C294" t="str">
            <v>أطباق بلاستيك أسود بغطاء 16</v>
          </cell>
          <cell r="D294" t="str">
            <v>تعبئة وتغليف (المشربية)</v>
          </cell>
          <cell r="E294" t="str">
            <v>حبة</v>
          </cell>
          <cell r="F294" t="str">
            <v>الظاهرى</v>
          </cell>
          <cell r="G294">
            <v>0</v>
          </cell>
          <cell r="H294" t="str">
            <v/>
          </cell>
        </row>
        <row r="295">
          <cell r="B295">
            <v>438</v>
          </cell>
          <cell r="C295" t="str">
            <v>أعواد خشب مشاوي - المشربية</v>
          </cell>
          <cell r="D295" t="str">
            <v>تعبئة وتغليف (المشربية)</v>
          </cell>
          <cell r="E295" t="str">
            <v>بكت</v>
          </cell>
          <cell r="F295" t="str">
            <v>الظاهرى</v>
          </cell>
          <cell r="G295">
            <v>1.3915</v>
          </cell>
          <cell r="H295" t="str">
            <v/>
          </cell>
        </row>
        <row r="296">
          <cell r="B296">
            <v>462</v>
          </cell>
          <cell r="C296" t="str">
            <v>شنطة سفري أسود 29 - المشربية</v>
          </cell>
          <cell r="D296" t="str">
            <v>تعبئة وتغليف (المشربية)</v>
          </cell>
          <cell r="E296" t="str">
            <v>حبة</v>
          </cell>
          <cell r="F296" t="str">
            <v>مشتريات مباشرة</v>
          </cell>
          <cell r="G296">
            <v>1.0004999999999999</v>
          </cell>
          <cell r="H296">
            <v>0.9999825</v>
          </cell>
        </row>
        <row r="297">
          <cell r="B297">
            <v>491</v>
          </cell>
          <cell r="C297" t="str">
            <v>أغطية أكواب شاي أسود - المشربية</v>
          </cell>
          <cell r="D297" t="str">
            <v>تعبئة وتغليف (المشربية)</v>
          </cell>
          <cell r="E297" t="str">
            <v>حبة</v>
          </cell>
          <cell r="F297" t="str">
            <v>الظاهرى</v>
          </cell>
          <cell r="G297">
            <v>0</v>
          </cell>
          <cell r="H297" t="str">
            <v/>
          </cell>
        </row>
        <row r="298">
          <cell r="B298">
            <v>464</v>
          </cell>
          <cell r="C298" t="str">
            <v>أطباق كشري - المشربية</v>
          </cell>
          <cell r="D298" t="str">
            <v>تعبئة وتغليف (المشربية)</v>
          </cell>
          <cell r="E298" t="str">
            <v>حبة</v>
          </cell>
          <cell r="F298" t="str">
            <v>مشتريات مباشرة</v>
          </cell>
          <cell r="G298">
            <v>0</v>
          </cell>
          <cell r="H298" t="str">
            <v/>
          </cell>
        </row>
        <row r="299">
          <cell r="B299">
            <v>490</v>
          </cell>
          <cell r="C299" t="str">
            <v>أطباق قشطوطة بلاستيك 24</v>
          </cell>
          <cell r="D299" t="str">
            <v>تعبئة وتغليف (المشربية)</v>
          </cell>
          <cell r="E299" t="str">
            <v>حبة</v>
          </cell>
          <cell r="F299" t="str">
            <v>الظاهرى</v>
          </cell>
          <cell r="G299">
            <v>0.74</v>
          </cell>
          <cell r="H299" t="str">
            <v/>
          </cell>
        </row>
        <row r="300">
          <cell r="B300">
            <v>783</v>
          </cell>
          <cell r="C300" t="str">
            <v>حامل اكواب</v>
          </cell>
          <cell r="D300" t="str">
            <v>تعبئة وتغليف (المشربية)</v>
          </cell>
          <cell r="E300" t="str">
            <v>حبة</v>
          </cell>
          <cell r="F300" t="str">
            <v>مشتريات مباشرة</v>
          </cell>
          <cell r="G300">
            <v>0.35995000000000005</v>
          </cell>
          <cell r="H300" t="str">
            <v/>
          </cell>
        </row>
        <row r="301">
          <cell r="B301">
            <v>381</v>
          </cell>
          <cell r="C301" t="str">
            <v xml:space="preserve">مصاص أسود مغلف </v>
          </cell>
          <cell r="D301" t="str">
            <v>تعبئة وتغليف (المشربية)</v>
          </cell>
          <cell r="E301" t="str">
            <v>شدة</v>
          </cell>
          <cell r="F301" t="str">
            <v>الظاهرى</v>
          </cell>
          <cell r="G301">
            <v>2.5300000000000002</v>
          </cell>
          <cell r="H301" t="str">
            <v/>
          </cell>
        </row>
        <row r="302">
          <cell r="B302">
            <v>744</v>
          </cell>
          <cell r="C302" t="str">
            <v xml:space="preserve">علبة قصب مستطیلة ١٠٠٠ مل </v>
          </cell>
          <cell r="D302" t="str">
            <v>تعبئة و تغليف (باك ستريت)</v>
          </cell>
          <cell r="E302" t="str">
            <v>حبة</v>
          </cell>
          <cell r="F302" t="str">
            <v>وساطة وضمان</v>
          </cell>
          <cell r="G302">
            <v>0</v>
          </cell>
          <cell r="H302" t="str">
            <v/>
          </cell>
        </row>
        <row r="303">
          <cell r="B303">
            <v>685</v>
          </cell>
          <cell r="C303" t="str">
            <v xml:space="preserve">علبة قصب بیضاوي ٨٥٠ مل </v>
          </cell>
          <cell r="D303" t="str">
            <v>تعبئة و تغليف (باك ستريت)</v>
          </cell>
          <cell r="E303" t="str">
            <v>حبة</v>
          </cell>
          <cell r="F303" t="str">
            <v>وساطة وضمان</v>
          </cell>
          <cell r="G303">
            <v>0</v>
          </cell>
          <cell r="H303" t="str">
            <v/>
          </cell>
        </row>
        <row r="304">
          <cell r="B304">
            <v>745</v>
          </cell>
          <cell r="C304" t="str">
            <v xml:space="preserve">علبة برجر قصب ٤٥٠ مل </v>
          </cell>
          <cell r="D304" t="str">
            <v>تعبئة و تغليف (باك ستريت)</v>
          </cell>
          <cell r="E304" t="str">
            <v>حبة</v>
          </cell>
          <cell r="F304" t="str">
            <v>الظاهرى</v>
          </cell>
          <cell r="G304">
            <v>0</v>
          </cell>
          <cell r="H304" t="str">
            <v/>
          </cell>
        </row>
        <row r="305">
          <cell r="B305">
            <v>746</v>
          </cell>
          <cell r="C305" t="str">
            <v>وعاء ميكرويف 32 اونز</v>
          </cell>
          <cell r="D305" t="str">
            <v>تعبئة و تغليف (باك ستريت)</v>
          </cell>
          <cell r="E305" t="str">
            <v>حبة</v>
          </cell>
          <cell r="F305" t="str">
            <v>الظاهرى</v>
          </cell>
          <cell r="G305">
            <v>0</v>
          </cell>
          <cell r="H305" t="str">
            <v/>
          </cell>
        </row>
        <row r="306">
          <cell r="B306">
            <v>763</v>
          </cell>
          <cell r="C306" t="str">
            <v xml:space="preserve">علب ھوت باك حلا ١٦ اونز </v>
          </cell>
          <cell r="D306" t="str">
            <v>تعبئة و تغليف (باك ستريت)</v>
          </cell>
          <cell r="E306" t="str">
            <v>حبة</v>
          </cell>
          <cell r="F306" t="str">
            <v>هوت باك</v>
          </cell>
          <cell r="G306">
            <v>0</v>
          </cell>
          <cell r="H306" t="str">
            <v/>
          </cell>
        </row>
        <row r="307">
          <cell r="B307">
            <v>740</v>
          </cell>
          <cell r="C307" t="str">
            <v xml:space="preserve">صحن ورقي بني </v>
          </cell>
          <cell r="D307" t="str">
            <v>تعبئة و تغليف (باك ستريت)</v>
          </cell>
          <cell r="E307" t="str">
            <v>حبة</v>
          </cell>
          <cell r="F307" t="str">
            <v>مشتريات مباشرة</v>
          </cell>
          <cell r="G307">
            <v>0</v>
          </cell>
          <cell r="H307" t="str">
            <v/>
          </cell>
        </row>
        <row r="308">
          <cell r="B308">
            <v>188</v>
          </cell>
          <cell r="C308" t="str">
            <v>ورق زبدة - باك ستريت</v>
          </cell>
          <cell r="D308" t="str">
            <v>تعبئة و تغليف (باك ستريت)</v>
          </cell>
          <cell r="E308" t="str">
            <v>حبة</v>
          </cell>
          <cell r="F308" t="str">
            <v>المركز السعودى للطباعة</v>
          </cell>
          <cell r="G308">
            <v>0</v>
          </cell>
          <cell r="H308" t="str">
            <v/>
          </cell>
        </row>
        <row r="309">
          <cell r="B309">
            <v>507</v>
          </cell>
          <cell r="C309" t="str">
            <v xml:space="preserve">مندیل مائدة مطبوعة </v>
          </cell>
          <cell r="D309" t="str">
            <v>تعبئة و تغليف (باك ستريت)</v>
          </cell>
          <cell r="E309" t="str">
            <v>حبة</v>
          </cell>
          <cell r="F309" t="str">
            <v>الظاهرى</v>
          </cell>
          <cell r="G309">
            <v>0</v>
          </cell>
          <cell r="H309" t="str">
            <v/>
          </cell>
        </row>
        <row r="310">
          <cell r="B310">
            <v>494</v>
          </cell>
          <cell r="C310" t="str">
            <v xml:space="preserve">مندیل معطرة مطبوعة </v>
          </cell>
          <cell r="D310" t="str">
            <v>تعبئة و تغليف (باك ستريت)</v>
          </cell>
          <cell r="E310" t="str">
            <v>حبه</v>
          </cell>
          <cell r="F310" t="str">
            <v>فيرم</v>
          </cell>
          <cell r="G310">
            <v>0</v>
          </cell>
          <cell r="H310" t="str">
            <v/>
          </cell>
        </row>
        <row r="311">
          <cell r="B311">
            <v>681</v>
          </cell>
          <cell r="C311" t="str">
            <v>شبكة شعر ذهبية</v>
          </cell>
          <cell r="D311" t="str">
            <v>تعبئة و تغليف (باك ستريت)</v>
          </cell>
          <cell r="E311" t="str">
            <v>حبة</v>
          </cell>
          <cell r="F311" t="str">
            <v>مشتريات مباشرة</v>
          </cell>
          <cell r="G311">
            <v>0</v>
          </cell>
          <cell r="H311" t="str">
            <v/>
          </cell>
        </row>
        <row r="312">
          <cell r="B312">
            <v>689</v>
          </cell>
          <cell r="C312" t="str">
            <v xml:space="preserve">منكش برجر ھوت باك صغیر </v>
          </cell>
          <cell r="D312" t="str">
            <v>تعبئة و تغليف (باك ستريت)</v>
          </cell>
          <cell r="E312" t="str">
            <v>حبة</v>
          </cell>
          <cell r="F312" t="str">
            <v>هوت باك</v>
          </cell>
          <cell r="G312">
            <v>0</v>
          </cell>
          <cell r="H312" t="str">
            <v/>
          </cell>
        </row>
        <row r="313">
          <cell r="B313">
            <v>44</v>
          </cell>
          <cell r="C313" t="str">
            <v>رول تاريخ صلاحية</v>
          </cell>
          <cell r="D313" t="str">
            <v>أدوات مكتبية</v>
          </cell>
          <cell r="E313" t="str">
            <v>بكت</v>
          </cell>
          <cell r="F313" t="str">
            <v>الظاهرى</v>
          </cell>
          <cell r="G313">
            <v>0</v>
          </cell>
          <cell r="H313" t="str">
            <v/>
          </cell>
        </row>
        <row r="314">
          <cell r="B314">
            <v>74</v>
          </cell>
          <cell r="C314" t="str">
            <v>رول كاشير</v>
          </cell>
          <cell r="D314" t="str">
            <v>أدوات مكتبية</v>
          </cell>
          <cell r="E314" t="str">
            <v>حبة</v>
          </cell>
          <cell r="F314" t="str">
            <v>الظاهرى</v>
          </cell>
          <cell r="G314">
            <v>0</v>
          </cell>
          <cell r="H314" t="str">
            <v/>
          </cell>
        </row>
        <row r="315">
          <cell r="B315">
            <v>119</v>
          </cell>
          <cell r="C315" t="str">
            <v>رول شبكة</v>
          </cell>
          <cell r="D315" t="str">
            <v>أدوات مكتبية</v>
          </cell>
          <cell r="E315" t="str">
            <v>حبة</v>
          </cell>
          <cell r="F315" t="str">
            <v>الظاهرى</v>
          </cell>
          <cell r="G315">
            <v>0</v>
          </cell>
          <cell r="H315" t="str">
            <v/>
          </cell>
        </row>
        <row r="316">
          <cell r="B316">
            <v>173</v>
          </cell>
          <cell r="C316" t="str">
            <v>سند قبض - طحينة</v>
          </cell>
          <cell r="D316" t="str">
            <v>مطبوعات (طحينة)</v>
          </cell>
          <cell r="E316" t="str">
            <v>حبة</v>
          </cell>
          <cell r="F316">
            <v>0</v>
          </cell>
          <cell r="G316">
            <v>10.5</v>
          </cell>
          <cell r="H316" t="str">
            <v/>
          </cell>
        </row>
        <row r="317">
          <cell r="B317">
            <v>174</v>
          </cell>
          <cell r="C317" t="str">
            <v>سند صرف - طحينة</v>
          </cell>
          <cell r="D317" t="str">
            <v>مطبوعات (طحينة)</v>
          </cell>
          <cell r="E317" t="str">
            <v>حبة</v>
          </cell>
          <cell r="F317">
            <v>0</v>
          </cell>
          <cell r="G317">
            <v>10.5</v>
          </cell>
          <cell r="H317" t="str">
            <v/>
          </cell>
        </row>
        <row r="318">
          <cell r="B318">
            <v>190</v>
          </cell>
          <cell r="C318" t="str">
            <v>فواحة</v>
          </cell>
          <cell r="D318" t="str">
            <v>مطبوعات (طحينة)</v>
          </cell>
          <cell r="E318" t="str">
            <v>حبة</v>
          </cell>
          <cell r="F318">
            <v>0</v>
          </cell>
          <cell r="G318">
            <v>0</v>
          </cell>
          <cell r="H318" t="str">
            <v/>
          </cell>
        </row>
        <row r="319">
          <cell r="B319">
            <v>449</v>
          </cell>
          <cell r="C319" t="str">
            <v>فواتير صرف مطبوع - طحينة</v>
          </cell>
          <cell r="D319" t="str">
            <v>مطبوعات (طحينة)</v>
          </cell>
          <cell r="E319" t="str">
            <v>حبة</v>
          </cell>
          <cell r="F319">
            <v>0</v>
          </cell>
          <cell r="G319">
            <v>7</v>
          </cell>
          <cell r="H319" t="str">
            <v/>
          </cell>
        </row>
        <row r="320">
          <cell r="B320">
            <v>529</v>
          </cell>
          <cell r="C320" t="str">
            <v>ورق بطاطس مطبوع - طحينة</v>
          </cell>
          <cell r="D320" t="str">
            <v>مطبوعات (طحينة)</v>
          </cell>
          <cell r="E320" t="str">
            <v>حبة</v>
          </cell>
          <cell r="F320">
            <v>0</v>
          </cell>
          <cell r="G320">
            <v>0</v>
          </cell>
          <cell r="H320" t="str">
            <v/>
          </cell>
        </row>
        <row r="321">
          <cell r="B321">
            <v>619</v>
          </cell>
          <cell r="C321" t="str">
            <v>ملصقات طحينة</v>
          </cell>
          <cell r="D321" t="str">
            <v>مطبوعات (طحينة)</v>
          </cell>
          <cell r="E321" t="str">
            <v>حبة</v>
          </cell>
          <cell r="F321">
            <v>0</v>
          </cell>
          <cell r="G321">
            <v>3.4499999999999996E-2</v>
          </cell>
          <cell r="H321" t="str">
            <v/>
          </cell>
        </row>
        <row r="322">
          <cell r="B322">
            <v>22</v>
          </cell>
          <cell r="C322" t="str">
            <v>بوكسات مطبوعة</v>
          </cell>
          <cell r="D322" t="str">
            <v>مطبوعات (طحينة)</v>
          </cell>
          <cell r="E322" t="str">
            <v>حبة</v>
          </cell>
          <cell r="F322" t="str">
            <v>لامينا</v>
          </cell>
          <cell r="G322">
            <v>0.4</v>
          </cell>
          <cell r="H322">
            <v>0.69</v>
          </cell>
        </row>
        <row r="323">
          <cell r="B323">
            <v>27</v>
          </cell>
          <cell r="C323" t="str">
            <v>أكياس كولا بلاستيك</v>
          </cell>
          <cell r="D323" t="str">
            <v>مطبوعات (طحينة)</v>
          </cell>
          <cell r="E323" t="str">
            <v>كيلو</v>
          </cell>
          <cell r="F323" t="str">
            <v>مصنع عبدالله الزهراني</v>
          </cell>
          <cell r="G323">
            <v>7.5094999999999992</v>
          </cell>
          <cell r="H323" t="str">
            <v/>
          </cell>
        </row>
        <row r="324">
          <cell r="B324">
            <v>179</v>
          </cell>
          <cell r="C324" t="str">
            <v>شنطة بلاستيك مطبوع</v>
          </cell>
          <cell r="D324" t="str">
            <v>مطبوعات (طحينة)</v>
          </cell>
          <cell r="E324" t="str">
            <v>كيلو</v>
          </cell>
          <cell r="F324" t="str">
            <v>مصنع عبدالله الزهراني</v>
          </cell>
          <cell r="G324">
            <v>7.51</v>
          </cell>
          <cell r="H324" t="str">
            <v/>
          </cell>
        </row>
        <row r="325">
          <cell r="B325">
            <v>153</v>
          </cell>
          <cell r="C325" t="str">
            <v>مناديل سفرة مطبوع</v>
          </cell>
          <cell r="D325" t="str">
            <v>مطبوعات (طحينة)</v>
          </cell>
          <cell r="E325" t="str">
            <v>حبة</v>
          </cell>
          <cell r="F325" t="str">
            <v>الظاهرى</v>
          </cell>
          <cell r="G325">
            <v>1.6962499999999998E-2</v>
          </cell>
          <cell r="H325">
            <v>1.58125E-2</v>
          </cell>
        </row>
        <row r="326">
          <cell r="B326">
            <v>21</v>
          </cell>
          <cell r="C326" t="str">
            <v>ظرف سندوتش صغير</v>
          </cell>
          <cell r="D326" t="str">
            <v>مطبوعات (طحينة)</v>
          </cell>
          <cell r="E326" t="str">
            <v>حبة</v>
          </cell>
          <cell r="F326" t="str">
            <v>المركز السعودى للطباعة</v>
          </cell>
          <cell r="G326">
            <v>0.13799999999999998</v>
          </cell>
          <cell r="H326" t="str">
            <v/>
          </cell>
        </row>
        <row r="327">
          <cell r="B327">
            <v>112</v>
          </cell>
          <cell r="C327" t="str">
            <v>ورق سندوتش مطبوع</v>
          </cell>
          <cell r="D327" t="str">
            <v>مطبوعات (طحينة)</v>
          </cell>
          <cell r="E327" t="str">
            <v>حبة</v>
          </cell>
          <cell r="F327" t="str">
            <v>المركز السعودى للطباعة</v>
          </cell>
          <cell r="G327">
            <v>8.0500000000000016E-2</v>
          </cell>
          <cell r="H327" t="str">
            <v/>
          </cell>
        </row>
        <row r="328">
          <cell r="B328">
            <v>627</v>
          </cell>
          <cell r="C328" t="str">
            <v>ورق زبدة للبوكسات</v>
          </cell>
          <cell r="D328" t="str">
            <v>مطبوعات (طحينة)</v>
          </cell>
          <cell r="E328" t="str">
            <v>حبة</v>
          </cell>
          <cell r="F328" t="str">
            <v>المركز السعودى للطباعة</v>
          </cell>
          <cell r="G328">
            <v>0.06</v>
          </cell>
          <cell r="H328" t="str">
            <v/>
          </cell>
        </row>
        <row r="329">
          <cell r="B329">
            <v>15</v>
          </cell>
          <cell r="C329" t="str">
            <v>مناديل معطرة مطبوع - طحينة</v>
          </cell>
          <cell r="D329" t="str">
            <v>مطبوعات (طحينة)</v>
          </cell>
          <cell r="E329" t="str">
            <v>حبة</v>
          </cell>
          <cell r="F329" t="str">
            <v>فيرم</v>
          </cell>
          <cell r="G329">
            <v>0.11</v>
          </cell>
          <cell r="H329" t="str">
            <v/>
          </cell>
        </row>
        <row r="330">
          <cell r="B330">
            <v>186</v>
          </cell>
          <cell r="C330" t="str">
            <v>دفتر جرد للفروع</v>
          </cell>
          <cell r="D330" t="str">
            <v>مطبوعات (طحينة)</v>
          </cell>
          <cell r="E330" t="str">
            <v>حبة</v>
          </cell>
          <cell r="F330">
            <v>0</v>
          </cell>
          <cell r="G330">
            <v>15.481</v>
          </cell>
          <cell r="H330" t="str">
            <v/>
          </cell>
        </row>
        <row r="331">
          <cell r="B331">
            <v>151</v>
          </cell>
          <cell r="C331" t="str">
            <v>دفتر تقرير نقدية</v>
          </cell>
          <cell r="D331" t="str">
            <v>مطبوعات (طحينة)</v>
          </cell>
          <cell r="E331" t="str">
            <v>حبة</v>
          </cell>
          <cell r="F331">
            <v>0</v>
          </cell>
          <cell r="G331">
            <v>16.585999999999999</v>
          </cell>
          <cell r="H331" t="str">
            <v/>
          </cell>
        </row>
        <row r="332">
          <cell r="B332">
            <v>141</v>
          </cell>
          <cell r="C332" t="str">
            <v>دفتر أذن - طحينة</v>
          </cell>
          <cell r="D332" t="str">
            <v>مطبوعات (طحينة)</v>
          </cell>
          <cell r="E332" t="str">
            <v>حبة</v>
          </cell>
          <cell r="F332">
            <v>0</v>
          </cell>
          <cell r="G332">
            <v>6.6</v>
          </cell>
          <cell r="H332" t="str">
            <v/>
          </cell>
        </row>
        <row r="333">
          <cell r="B333">
            <v>142</v>
          </cell>
          <cell r="C333" t="str">
            <v>دفتر مصنعات</v>
          </cell>
          <cell r="D333" t="str">
            <v>مطبوعات (طحينة)</v>
          </cell>
          <cell r="E333" t="str">
            <v>حبة</v>
          </cell>
          <cell r="F333">
            <v>0</v>
          </cell>
          <cell r="G333">
            <v>6.6</v>
          </cell>
          <cell r="H333" t="str">
            <v/>
          </cell>
        </row>
        <row r="334">
          <cell r="B334">
            <v>76</v>
          </cell>
          <cell r="C334" t="str">
            <v>استكر تاريخ صلاحية أبيض</v>
          </cell>
          <cell r="D334" t="str">
            <v>مطبوعات (طحينة)</v>
          </cell>
          <cell r="E334" t="str">
            <v>حبة</v>
          </cell>
          <cell r="F334">
            <v>0</v>
          </cell>
          <cell r="G334">
            <v>0.28559999999999997</v>
          </cell>
          <cell r="H334" t="str">
            <v/>
          </cell>
        </row>
        <row r="335">
          <cell r="B335">
            <v>162</v>
          </cell>
          <cell r="C335" t="str">
            <v>استكر تاريخ صلاحية أحمر</v>
          </cell>
          <cell r="D335" t="str">
            <v>مطبوعات (طحينة)</v>
          </cell>
          <cell r="E335" t="str">
            <v>حبة</v>
          </cell>
          <cell r="F335">
            <v>0</v>
          </cell>
          <cell r="G335">
            <v>7.0000000000000007E-2</v>
          </cell>
          <cell r="H335" t="str">
            <v/>
          </cell>
        </row>
        <row r="336">
          <cell r="B336">
            <v>113</v>
          </cell>
          <cell r="C336" t="str">
            <v>سفرة الجريدة</v>
          </cell>
          <cell r="D336" t="str">
            <v>مطبوعات (طحينة)</v>
          </cell>
          <cell r="E336" t="str">
            <v>حبة</v>
          </cell>
          <cell r="F336" t="str">
            <v>المركز السعودى للطباعة</v>
          </cell>
          <cell r="G336">
            <v>6.9000000000000006E-2</v>
          </cell>
          <cell r="H336" t="str">
            <v/>
          </cell>
        </row>
        <row r="337">
          <cell r="B337">
            <v>498</v>
          </cell>
          <cell r="C337" t="str">
            <v>ملصقات أرز بلبن</v>
          </cell>
          <cell r="D337" t="str">
            <v>مطبوعات (طحينة)</v>
          </cell>
          <cell r="E337" t="str">
            <v>حبة</v>
          </cell>
          <cell r="F337">
            <v>0</v>
          </cell>
          <cell r="G337">
            <v>0.14000000000000001</v>
          </cell>
          <cell r="H337" t="str">
            <v/>
          </cell>
        </row>
        <row r="338">
          <cell r="B338">
            <v>610</v>
          </cell>
          <cell r="C338" t="str">
            <v>بوكسات مطبوعة كبير 60 سم</v>
          </cell>
          <cell r="D338" t="str">
            <v>مطبوعات (طحينة)</v>
          </cell>
          <cell r="E338" t="str">
            <v>حبة</v>
          </cell>
          <cell r="F338" t="str">
            <v>لامينا</v>
          </cell>
          <cell r="G338">
            <v>1.2649999999999999</v>
          </cell>
          <cell r="H338" t="str">
            <v/>
          </cell>
        </row>
        <row r="339">
          <cell r="B339">
            <v>611</v>
          </cell>
          <cell r="C339" t="str">
            <v>حامل قسام - فتحتين</v>
          </cell>
          <cell r="D339" t="str">
            <v>مطبوعات (طحينة)</v>
          </cell>
          <cell r="E339" t="str">
            <v>حبة</v>
          </cell>
          <cell r="F339" t="str">
            <v>المركز السعودى للطباعة</v>
          </cell>
          <cell r="G339">
            <v>9.1999999999999998E-2</v>
          </cell>
          <cell r="H339">
            <v>9.1999999999999998E-2</v>
          </cell>
        </row>
        <row r="340">
          <cell r="B340">
            <v>612</v>
          </cell>
          <cell r="C340" t="str">
            <v>بوكسات مطبوعة صغير 30 سم</v>
          </cell>
          <cell r="D340" t="str">
            <v>مطبوعات (طحينة)</v>
          </cell>
          <cell r="E340" t="str">
            <v>حبة</v>
          </cell>
          <cell r="F340" t="str">
            <v>لامينا</v>
          </cell>
          <cell r="G340">
            <v>0.59799999999999998</v>
          </cell>
          <cell r="H340" t="str">
            <v/>
          </cell>
        </row>
        <row r="341">
          <cell r="B341">
            <v>613</v>
          </cell>
          <cell r="C341" t="str">
            <v>بوكسات مطبوعة مربعة حواوشي</v>
          </cell>
          <cell r="D341" t="str">
            <v>مطبوعات (طحينة)</v>
          </cell>
          <cell r="E341" t="str">
            <v>حبة</v>
          </cell>
          <cell r="F341" t="str">
            <v>لامينا</v>
          </cell>
          <cell r="G341">
            <v>0.36799999999999999</v>
          </cell>
          <cell r="H341" t="str">
            <v/>
          </cell>
        </row>
        <row r="342">
          <cell r="B342">
            <v>614</v>
          </cell>
          <cell r="C342" t="str">
            <v>علب باستا مطبوعة</v>
          </cell>
          <cell r="D342" t="str">
            <v>مطبوعات (طحينة)</v>
          </cell>
          <cell r="E342" t="str">
            <v>حبة</v>
          </cell>
          <cell r="F342">
            <v>0</v>
          </cell>
          <cell r="G342">
            <v>0.92</v>
          </cell>
          <cell r="H342" t="str">
            <v/>
          </cell>
        </row>
        <row r="343">
          <cell r="B343">
            <v>634</v>
          </cell>
          <cell r="C343" t="str">
            <v>كفرات طعام 3*1 باك ستريت</v>
          </cell>
          <cell r="D343" t="str">
            <v>مطبوعات (باك ستريت)</v>
          </cell>
          <cell r="E343" t="str">
            <v>حبة</v>
          </cell>
          <cell r="F343" t="str">
            <v>الظاهرى</v>
          </cell>
          <cell r="G343">
            <v>0</v>
          </cell>
          <cell r="H343" t="str">
            <v/>
          </cell>
        </row>
        <row r="344">
          <cell r="B344">
            <v>584</v>
          </cell>
          <cell r="C344" t="str">
            <v>أكیاس بيبسي بلاستیك باك ستريت</v>
          </cell>
          <cell r="D344" t="str">
            <v>مطبوعات (باك ستريت)</v>
          </cell>
          <cell r="E344" t="str">
            <v>كيلو</v>
          </cell>
          <cell r="F344" t="str">
            <v>الظاهرى</v>
          </cell>
          <cell r="G344">
            <v>0</v>
          </cell>
          <cell r="H344" t="str">
            <v/>
          </cell>
        </row>
        <row r="345">
          <cell r="B345">
            <v>633</v>
          </cell>
          <cell r="C345" t="str">
            <v xml:space="preserve">أكیاس ورقي كبیر مطبوعة </v>
          </cell>
          <cell r="D345" t="str">
            <v>مطبوعات (باك ستريت)</v>
          </cell>
          <cell r="E345" t="str">
            <v>حبة</v>
          </cell>
          <cell r="F345" t="str">
            <v>مشتريات مباشرة</v>
          </cell>
          <cell r="G345">
            <v>0.89699999999999991</v>
          </cell>
          <cell r="H345" t="str">
            <v/>
          </cell>
        </row>
        <row r="346">
          <cell r="B346">
            <v>813</v>
          </cell>
          <cell r="C346" t="str">
            <v xml:space="preserve">استیكر منتج </v>
          </cell>
          <cell r="D346" t="str">
            <v>مطبوعات (باك ستريت)</v>
          </cell>
          <cell r="E346" t="str">
            <v>حبة</v>
          </cell>
          <cell r="F346" t="str">
            <v>المركز السعودى للطباعة</v>
          </cell>
          <cell r="G346">
            <v>0</v>
          </cell>
          <cell r="H346" t="str">
            <v/>
          </cell>
        </row>
        <row r="347">
          <cell r="B347">
            <v>814</v>
          </cell>
          <cell r="C347" t="str">
            <v xml:space="preserve">استیكر تغلیف حلا </v>
          </cell>
          <cell r="D347" t="str">
            <v>مطبوعات (باك ستريت)</v>
          </cell>
          <cell r="E347" t="str">
            <v>حبة</v>
          </cell>
          <cell r="F347" t="str">
            <v>المركز السعودى للطباعة</v>
          </cell>
          <cell r="G347">
            <v>0</v>
          </cell>
          <cell r="H347" t="str">
            <v/>
          </cell>
        </row>
        <row r="348">
          <cell r="B348">
            <v>598</v>
          </cell>
          <cell r="C348" t="str">
            <v>بوكسات مطبوعة باك ستريت</v>
          </cell>
          <cell r="D348" t="str">
            <v>مطبوعات (باك ستريت)</v>
          </cell>
          <cell r="E348" t="str">
            <v>حبة</v>
          </cell>
          <cell r="F348" t="str">
            <v>لامينا</v>
          </cell>
          <cell r="G348">
            <v>0</v>
          </cell>
          <cell r="H348" t="str">
            <v/>
          </cell>
        </row>
        <row r="349">
          <cell r="B349">
            <v>635</v>
          </cell>
          <cell r="C349" t="str">
            <v>كفرات طعام 4*1 باك ستريت</v>
          </cell>
          <cell r="D349" t="str">
            <v>مطبوعات (باك ستريت)</v>
          </cell>
          <cell r="E349" t="str">
            <v>حبة</v>
          </cell>
          <cell r="F349" t="str">
            <v>الظاهرى</v>
          </cell>
          <cell r="G349">
            <v>0</v>
          </cell>
          <cell r="H349" t="str">
            <v/>
          </cell>
        </row>
        <row r="350">
          <cell r="B350">
            <v>198</v>
          </cell>
          <cell r="C350" t="str">
            <v>كابتن أوردر - المشربية</v>
          </cell>
          <cell r="D350" t="str">
            <v>مطبوعات (المشربية)</v>
          </cell>
          <cell r="E350" t="str">
            <v>حبة</v>
          </cell>
          <cell r="F350">
            <v>0</v>
          </cell>
          <cell r="G350">
            <v>0</v>
          </cell>
          <cell r="H350" t="str">
            <v/>
          </cell>
        </row>
        <row r="351">
          <cell r="B351">
            <v>199</v>
          </cell>
          <cell r="C351" t="str">
            <v>نوتات - المشربية</v>
          </cell>
          <cell r="D351" t="str">
            <v>مطبوعات (المشربية)</v>
          </cell>
          <cell r="E351" t="str">
            <v>حبة</v>
          </cell>
          <cell r="F351">
            <v>0</v>
          </cell>
          <cell r="G351">
            <v>0</v>
          </cell>
          <cell r="H351" t="str">
            <v/>
          </cell>
        </row>
        <row r="352">
          <cell r="B352">
            <v>265</v>
          </cell>
          <cell r="C352" t="str">
            <v>كوتشينا - المشربية</v>
          </cell>
          <cell r="D352" t="str">
            <v>مطبوعات (المشربية)</v>
          </cell>
          <cell r="E352" t="str">
            <v>حبة</v>
          </cell>
          <cell r="F352">
            <v>0</v>
          </cell>
          <cell r="G352">
            <v>0</v>
          </cell>
          <cell r="H352" t="str">
            <v/>
          </cell>
        </row>
        <row r="353">
          <cell r="B353">
            <v>291</v>
          </cell>
          <cell r="C353" t="str">
            <v>قلم مطبوع - المشربية</v>
          </cell>
          <cell r="D353" t="str">
            <v>مطبوعات (المشربية)</v>
          </cell>
          <cell r="E353" t="str">
            <v>حبة</v>
          </cell>
          <cell r="F353">
            <v>0</v>
          </cell>
          <cell r="G353">
            <v>0</v>
          </cell>
          <cell r="H353" t="str">
            <v/>
          </cell>
        </row>
        <row r="354">
          <cell r="B354">
            <v>320</v>
          </cell>
          <cell r="C354" t="str">
            <v>ملصق تاريخ صلاحية - المشربية</v>
          </cell>
          <cell r="D354" t="str">
            <v>مطبوعات (المشربية)</v>
          </cell>
          <cell r="E354" t="str">
            <v>حبة</v>
          </cell>
          <cell r="F354">
            <v>0</v>
          </cell>
          <cell r="G354">
            <v>0</v>
          </cell>
          <cell r="H354" t="str">
            <v/>
          </cell>
        </row>
        <row r="355">
          <cell r="B355">
            <v>321</v>
          </cell>
          <cell r="C355" t="str">
            <v>دفتر نقدية - المشربية</v>
          </cell>
          <cell r="D355" t="str">
            <v>مطبوعات (المشربية)</v>
          </cell>
          <cell r="E355" t="str">
            <v>حبة</v>
          </cell>
          <cell r="F355">
            <v>0</v>
          </cell>
          <cell r="G355">
            <v>0</v>
          </cell>
          <cell r="H355" t="str">
            <v/>
          </cell>
        </row>
        <row r="356">
          <cell r="B356">
            <v>322</v>
          </cell>
          <cell r="C356" t="str">
            <v>دفتر عهده - المشربية</v>
          </cell>
          <cell r="D356" t="str">
            <v>مطبوعات (المشربية)</v>
          </cell>
          <cell r="E356" t="str">
            <v>حبة</v>
          </cell>
          <cell r="F356">
            <v>0</v>
          </cell>
          <cell r="G356">
            <v>0</v>
          </cell>
          <cell r="H356" t="str">
            <v/>
          </cell>
        </row>
        <row r="357">
          <cell r="B357">
            <v>330</v>
          </cell>
          <cell r="C357" t="str">
            <v>مناديل سفرة مطبوع - المشربية</v>
          </cell>
          <cell r="D357" t="str">
            <v>مطبوعات (المشربية)</v>
          </cell>
          <cell r="E357" t="str">
            <v>حبة</v>
          </cell>
          <cell r="F357" t="str">
            <v>شركة نابكو الوطنية</v>
          </cell>
          <cell r="G357">
            <v>0</v>
          </cell>
          <cell r="H357" t="str">
            <v/>
          </cell>
        </row>
        <row r="358">
          <cell r="B358">
            <v>433</v>
          </cell>
          <cell r="C358" t="str">
            <v>ورق زبدة مطبوع - المشربية</v>
          </cell>
          <cell r="D358" t="str">
            <v>مطبوعات (المشربية)</v>
          </cell>
          <cell r="E358" t="str">
            <v>حبة</v>
          </cell>
          <cell r="F358">
            <v>0</v>
          </cell>
          <cell r="G358">
            <v>0</v>
          </cell>
          <cell r="H358" t="str">
            <v/>
          </cell>
        </row>
        <row r="359">
          <cell r="B359">
            <v>434</v>
          </cell>
          <cell r="C359" t="str">
            <v>ملصقات أكواب - المشربية</v>
          </cell>
          <cell r="D359" t="str">
            <v>مطبوعات (المشربية)</v>
          </cell>
          <cell r="E359" t="str">
            <v>حبة</v>
          </cell>
          <cell r="F359">
            <v>0</v>
          </cell>
          <cell r="G359">
            <v>0</v>
          </cell>
          <cell r="H359" t="str">
            <v/>
          </cell>
        </row>
        <row r="360">
          <cell r="B360">
            <v>439</v>
          </cell>
          <cell r="C360" t="str">
            <v>كابتن أرودر أم كلثوم - المشربية</v>
          </cell>
          <cell r="D360" t="str">
            <v>مطبوعات (المشربية)</v>
          </cell>
          <cell r="E360" t="str">
            <v>حبة</v>
          </cell>
          <cell r="F360">
            <v>0</v>
          </cell>
          <cell r="G360">
            <v>0</v>
          </cell>
          <cell r="H360" t="str">
            <v/>
          </cell>
        </row>
        <row r="361">
          <cell r="B361">
            <v>440</v>
          </cell>
          <cell r="C361" t="str">
            <v>أكواب شاي مطبوع - المشربية</v>
          </cell>
          <cell r="D361" t="str">
            <v>مطبوعات (المشربية)</v>
          </cell>
          <cell r="E361" t="str">
            <v>حبة</v>
          </cell>
          <cell r="F361">
            <v>0</v>
          </cell>
          <cell r="G361">
            <v>0</v>
          </cell>
          <cell r="H361" t="str">
            <v/>
          </cell>
        </row>
        <row r="362">
          <cell r="B362">
            <v>441</v>
          </cell>
          <cell r="C362" t="str">
            <v>أكواب قهوة مطبوع - المشربية</v>
          </cell>
          <cell r="D362" t="str">
            <v>مطبوعات (المشربية)</v>
          </cell>
          <cell r="E362" t="str">
            <v>حبة</v>
          </cell>
          <cell r="F362">
            <v>0</v>
          </cell>
          <cell r="G362">
            <v>0</v>
          </cell>
          <cell r="H362" t="str">
            <v/>
          </cell>
        </row>
        <row r="363">
          <cell r="B363">
            <v>445</v>
          </cell>
          <cell r="C363" t="str">
            <v>مناديل معطرة مطبوع - المشربية</v>
          </cell>
          <cell r="D363" t="str">
            <v>مطبوعات (المشربية)</v>
          </cell>
          <cell r="E363" t="str">
            <v>كرتونة</v>
          </cell>
          <cell r="F363" t="str">
            <v>شركة نابكو الوطنية</v>
          </cell>
          <cell r="G363">
            <v>0</v>
          </cell>
          <cell r="H363" t="str">
            <v/>
          </cell>
        </row>
        <row r="364">
          <cell r="B364">
            <v>446</v>
          </cell>
          <cell r="C364" t="str">
            <v>كابتن أوردر عبدالحليم - المشربية</v>
          </cell>
          <cell r="D364" t="str">
            <v>مطبوعات (المشربية)</v>
          </cell>
          <cell r="E364" t="str">
            <v>حبة</v>
          </cell>
          <cell r="F364">
            <v>0</v>
          </cell>
          <cell r="G364">
            <v>0</v>
          </cell>
          <cell r="H364" t="str">
            <v/>
          </cell>
        </row>
        <row r="365">
          <cell r="B365">
            <v>447</v>
          </cell>
          <cell r="C365" t="str">
            <v>كابتن أوردر الفرندة - المشربية</v>
          </cell>
          <cell r="D365" t="str">
            <v>مطبوعات (المشربية)</v>
          </cell>
          <cell r="E365" t="str">
            <v>حبة</v>
          </cell>
          <cell r="F365">
            <v>0</v>
          </cell>
          <cell r="G365">
            <v>0</v>
          </cell>
          <cell r="H365" t="str">
            <v/>
          </cell>
        </row>
        <row r="366">
          <cell r="B366">
            <v>448</v>
          </cell>
          <cell r="C366" t="str">
            <v>فواتير صرف مطبوع - المشربية</v>
          </cell>
          <cell r="D366" t="str">
            <v>مطبوعات (المشربية)</v>
          </cell>
          <cell r="E366" t="str">
            <v>كرتون</v>
          </cell>
          <cell r="F366">
            <v>0</v>
          </cell>
          <cell r="G366">
            <v>0</v>
          </cell>
          <cell r="H366" t="str">
            <v/>
          </cell>
        </row>
        <row r="367">
          <cell r="B367">
            <v>493</v>
          </cell>
          <cell r="C367" t="str">
            <v>دفتر أذن - المشربية</v>
          </cell>
          <cell r="D367" t="str">
            <v>مطبوعات (المشربية)</v>
          </cell>
          <cell r="E367" t="str">
            <v>حبة</v>
          </cell>
          <cell r="F367">
            <v>0</v>
          </cell>
          <cell r="G367">
            <v>0</v>
          </cell>
          <cell r="H367" t="str">
            <v/>
          </cell>
        </row>
        <row r="368">
          <cell r="B368">
            <v>503</v>
          </cell>
          <cell r="C368" t="str">
            <v>سند قبض - المشربية</v>
          </cell>
          <cell r="D368" t="str">
            <v>مطبوعات (المشربية)</v>
          </cell>
          <cell r="E368" t="str">
            <v>حبة</v>
          </cell>
          <cell r="F368">
            <v>0</v>
          </cell>
          <cell r="G368">
            <v>0</v>
          </cell>
          <cell r="H368" t="str">
            <v/>
          </cell>
        </row>
        <row r="369">
          <cell r="B369">
            <v>504</v>
          </cell>
          <cell r="C369" t="str">
            <v>سند صرف - المشربية</v>
          </cell>
          <cell r="D369" t="str">
            <v>مطبوعات (المشربية)</v>
          </cell>
          <cell r="E369" t="str">
            <v>حبة</v>
          </cell>
          <cell r="F369">
            <v>0</v>
          </cell>
          <cell r="G369">
            <v>0</v>
          </cell>
          <cell r="H369" t="str">
            <v/>
          </cell>
        </row>
        <row r="370">
          <cell r="B370">
            <v>846</v>
          </cell>
          <cell r="C370" t="str">
            <v>استيكر عصير</v>
          </cell>
          <cell r="D370" t="str">
            <v>مطبوعات (المشربية)</v>
          </cell>
          <cell r="E370" t="str">
            <v>حبة</v>
          </cell>
          <cell r="F370">
            <v>0</v>
          </cell>
          <cell r="G370">
            <v>0</v>
          </cell>
          <cell r="H370" t="str">
            <v/>
          </cell>
        </row>
        <row r="371">
          <cell r="B371">
            <v>845</v>
          </cell>
          <cell r="C371" t="str">
            <v>كروت كبون</v>
          </cell>
          <cell r="D371" t="str">
            <v>مطبوعات (المشربية)</v>
          </cell>
          <cell r="E371" t="str">
            <v>حبة</v>
          </cell>
          <cell r="F371">
            <v>0</v>
          </cell>
          <cell r="G371">
            <v>0</v>
          </cell>
          <cell r="H371" t="str">
            <v/>
          </cell>
        </row>
        <row r="372">
          <cell r="B372">
            <v>20</v>
          </cell>
          <cell r="C372" t="str">
            <v>نفايات 55 نابكو</v>
          </cell>
          <cell r="D372" t="str">
            <v>منظفات</v>
          </cell>
          <cell r="E372" t="str">
            <v>كيلو</v>
          </cell>
          <cell r="F372" t="str">
            <v>واد العطاء</v>
          </cell>
          <cell r="G372">
            <v>4.678735616438356</v>
          </cell>
          <cell r="H372">
            <v>4.9832375000000004</v>
          </cell>
        </row>
        <row r="373">
          <cell r="B373">
            <v>29</v>
          </cell>
          <cell r="C373" t="str">
            <v>ماكسي رول</v>
          </cell>
          <cell r="D373" t="str">
            <v>منظفات</v>
          </cell>
          <cell r="E373" t="str">
            <v>رول</v>
          </cell>
          <cell r="F373" t="str">
            <v>واد العطاء</v>
          </cell>
          <cell r="G373">
            <v>5.7757593065945327</v>
          </cell>
          <cell r="H373">
            <v>6.9886561538461534</v>
          </cell>
        </row>
        <row r="374">
          <cell r="B374">
            <v>30</v>
          </cell>
          <cell r="C374" t="str">
            <v>مناديل أوتوكت</v>
          </cell>
          <cell r="D374" t="str">
            <v>منظفات</v>
          </cell>
          <cell r="E374" t="str">
            <v>رول</v>
          </cell>
          <cell r="F374" t="str">
            <v>شركة نابكو الوطنية</v>
          </cell>
          <cell r="G374">
            <v>9.2000000000000011</v>
          </cell>
          <cell r="H374">
            <v>10.541688828125002</v>
          </cell>
        </row>
        <row r="375">
          <cell r="B375">
            <v>33</v>
          </cell>
          <cell r="C375" t="str">
            <v>صابون رغوة جالون</v>
          </cell>
          <cell r="D375" t="str">
            <v>منظفات</v>
          </cell>
          <cell r="E375" t="str">
            <v>لتر</v>
          </cell>
          <cell r="F375" t="str">
            <v>شركة نابكو الوطنية</v>
          </cell>
          <cell r="G375">
            <v>6.3250000000000002</v>
          </cell>
          <cell r="H375">
            <v>6.8336538461538465</v>
          </cell>
        </row>
        <row r="376">
          <cell r="B376">
            <v>35</v>
          </cell>
          <cell r="C376" t="str">
            <v xml:space="preserve">معقم أسطح </v>
          </cell>
          <cell r="D376" t="str">
            <v>منظفات</v>
          </cell>
          <cell r="E376" t="str">
            <v>لتر</v>
          </cell>
          <cell r="F376">
            <v>0</v>
          </cell>
          <cell r="G376">
            <v>0</v>
          </cell>
          <cell r="H376" t="str">
            <v/>
          </cell>
        </row>
        <row r="377">
          <cell r="B377">
            <v>36</v>
          </cell>
          <cell r="C377" t="str">
            <v>منظف زجاج  جالون</v>
          </cell>
          <cell r="D377" t="str">
            <v>منظفات</v>
          </cell>
          <cell r="E377" t="str">
            <v>لتر</v>
          </cell>
          <cell r="F377" t="str">
            <v>الظاهرى</v>
          </cell>
          <cell r="G377">
            <v>0</v>
          </cell>
          <cell r="H377" t="str">
            <v/>
          </cell>
        </row>
        <row r="378">
          <cell r="B378">
            <v>37</v>
          </cell>
          <cell r="C378" t="str">
            <v>مزيل دهون  جالون</v>
          </cell>
          <cell r="D378" t="str">
            <v>منظفات</v>
          </cell>
          <cell r="E378" t="str">
            <v>لتر</v>
          </cell>
          <cell r="F378">
            <v>0</v>
          </cell>
          <cell r="G378">
            <v>0</v>
          </cell>
          <cell r="H378" t="str">
            <v/>
          </cell>
        </row>
        <row r="379">
          <cell r="B379">
            <v>39</v>
          </cell>
          <cell r="C379" t="str">
            <v>منظف أفران  جالون</v>
          </cell>
          <cell r="D379" t="str">
            <v>منظفات</v>
          </cell>
          <cell r="E379" t="str">
            <v>لتر</v>
          </cell>
          <cell r="F379" t="str">
            <v>شركة نابكو الوطنية</v>
          </cell>
          <cell r="G379">
            <v>11.5</v>
          </cell>
          <cell r="H379">
            <v>12.65</v>
          </cell>
        </row>
        <row r="380">
          <cell r="B380">
            <v>41</v>
          </cell>
          <cell r="C380" t="str">
            <v>ملمع استيل جالون</v>
          </cell>
          <cell r="D380" t="str">
            <v>منظفات</v>
          </cell>
          <cell r="E380" t="str">
            <v>لتر</v>
          </cell>
          <cell r="F380">
            <v>0</v>
          </cell>
          <cell r="G380">
            <v>0</v>
          </cell>
          <cell r="H380" t="str">
            <v/>
          </cell>
        </row>
        <row r="381">
          <cell r="B381">
            <v>42</v>
          </cell>
          <cell r="C381" t="str">
            <v>معقم اليدين جالون</v>
          </cell>
          <cell r="D381" t="str">
            <v>منظفات</v>
          </cell>
          <cell r="E381" t="str">
            <v>لتر</v>
          </cell>
          <cell r="F381">
            <v>0</v>
          </cell>
          <cell r="G381">
            <v>14.95</v>
          </cell>
          <cell r="H381">
            <v>13</v>
          </cell>
        </row>
        <row r="382">
          <cell r="B382">
            <v>72</v>
          </cell>
          <cell r="C382" t="str">
            <v>مريلة بلاستيك</v>
          </cell>
          <cell r="D382" t="str">
            <v>منظفات</v>
          </cell>
          <cell r="E382" t="str">
            <v>كيلو</v>
          </cell>
          <cell r="F382" t="str">
            <v>واد العطاء</v>
          </cell>
          <cell r="G382">
            <v>14.375</v>
          </cell>
          <cell r="H382">
            <v>13.861360714285716</v>
          </cell>
        </row>
        <row r="383">
          <cell r="B383">
            <v>109</v>
          </cell>
          <cell r="C383" t="str">
            <v>حبيبات كلور</v>
          </cell>
          <cell r="D383" t="str">
            <v>منظفات</v>
          </cell>
          <cell r="E383" t="str">
            <v>حبة</v>
          </cell>
          <cell r="F383" t="str">
            <v>شركة نابكو الوطنية</v>
          </cell>
          <cell r="G383">
            <v>0.51749999999999996</v>
          </cell>
          <cell r="H383">
            <v>0.51749999999999996</v>
          </cell>
        </row>
        <row r="384">
          <cell r="B384">
            <v>150</v>
          </cell>
          <cell r="C384" t="str">
            <v>منظف أرضيات SH30</v>
          </cell>
          <cell r="D384" t="str">
            <v>منظفات</v>
          </cell>
          <cell r="E384" t="str">
            <v>لتر</v>
          </cell>
          <cell r="F384" t="str">
            <v>شركة نابكو الوطنية</v>
          </cell>
          <cell r="G384">
            <v>0</v>
          </cell>
          <cell r="H384" t="str">
            <v/>
          </cell>
        </row>
        <row r="385">
          <cell r="B385">
            <v>175</v>
          </cell>
          <cell r="C385" t="str">
            <v>اكياس نفايات 70</v>
          </cell>
          <cell r="D385" t="str">
            <v>منظفات</v>
          </cell>
          <cell r="E385" t="str">
            <v>كيلو</v>
          </cell>
          <cell r="F385" t="str">
            <v>واد العطاء</v>
          </cell>
          <cell r="G385">
            <v>4.9087321944444451</v>
          </cell>
          <cell r="H385">
            <v>5.1749999999999998</v>
          </cell>
        </row>
        <row r="386">
          <cell r="B386">
            <v>32</v>
          </cell>
          <cell r="C386" t="str">
            <v>نفايات 30 جالون</v>
          </cell>
          <cell r="D386" t="str">
            <v>منظفات</v>
          </cell>
          <cell r="E386" t="str">
            <v>كيلو</v>
          </cell>
          <cell r="F386" t="str">
            <v>واد العطاء</v>
          </cell>
          <cell r="G386">
            <v>5.0069322916666676</v>
          </cell>
          <cell r="H386">
            <v>5.3072500000000007</v>
          </cell>
        </row>
        <row r="387">
          <cell r="B387">
            <v>47</v>
          </cell>
          <cell r="C387" t="str">
            <v>ليفة سلك استيل</v>
          </cell>
          <cell r="D387" t="str">
            <v>منظفات</v>
          </cell>
          <cell r="E387" t="str">
            <v>حبة</v>
          </cell>
          <cell r="F387" t="str">
            <v>واد العطاء</v>
          </cell>
          <cell r="G387">
            <v>1.1613039772727272</v>
          </cell>
          <cell r="H387">
            <v>1.3705700000000001</v>
          </cell>
        </row>
        <row r="388">
          <cell r="B388">
            <v>143</v>
          </cell>
          <cell r="C388" t="str">
            <v>صابون فيري 1 لتر</v>
          </cell>
          <cell r="D388" t="str">
            <v>منظفات</v>
          </cell>
          <cell r="E388" t="str">
            <v>لتر</v>
          </cell>
          <cell r="F388" t="str">
            <v>واد العطاء</v>
          </cell>
          <cell r="G388">
            <v>6.3333237858766216</v>
          </cell>
          <cell r="H388">
            <v>6.2296969444444441</v>
          </cell>
        </row>
        <row r="389">
          <cell r="B389">
            <v>147</v>
          </cell>
          <cell r="C389" t="str">
            <v>ملمع أثاث 700 مم</v>
          </cell>
          <cell r="D389" t="str">
            <v>منظفات</v>
          </cell>
          <cell r="E389" t="str">
            <v>لتر</v>
          </cell>
          <cell r="F389" t="str">
            <v>الظاهرى</v>
          </cell>
          <cell r="G389">
            <v>14.854435</v>
          </cell>
          <cell r="H389">
            <v>13.690749999999998</v>
          </cell>
        </row>
        <row r="390">
          <cell r="B390">
            <v>161</v>
          </cell>
          <cell r="C390" t="str">
            <v>كلوركس 30 لتر</v>
          </cell>
          <cell r="D390" t="str">
            <v>منظفات</v>
          </cell>
          <cell r="E390" t="str">
            <v>لتر</v>
          </cell>
          <cell r="F390" t="str">
            <v>الظاهرى</v>
          </cell>
          <cell r="G390">
            <v>1.3347668409090909</v>
          </cell>
          <cell r="H390">
            <v>1.2650000000000001</v>
          </cell>
        </row>
        <row r="391">
          <cell r="B391">
            <v>172</v>
          </cell>
          <cell r="C391" t="str">
            <v>نفثالين معطر</v>
          </cell>
          <cell r="D391" t="str">
            <v>منظفات</v>
          </cell>
          <cell r="E391" t="str">
            <v>حبة</v>
          </cell>
          <cell r="F391">
            <v>0</v>
          </cell>
          <cell r="G391">
            <v>3.1164999999999998</v>
          </cell>
          <cell r="H391" t="str">
            <v/>
          </cell>
        </row>
        <row r="392">
          <cell r="B392">
            <v>185</v>
          </cell>
          <cell r="C392" t="str">
            <v>ديتول</v>
          </cell>
          <cell r="D392" t="str">
            <v>منظفات</v>
          </cell>
          <cell r="E392" t="str">
            <v>لتر</v>
          </cell>
          <cell r="F392">
            <v>0</v>
          </cell>
          <cell r="G392">
            <v>8.2661999999999995</v>
          </cell>
          <cell r="H392" t="str">
            <v/>
          </cell>
        </row>
        <row r="393">
          <cell r="B393">
            <v>31</v>
          </cell>
          <cell r="C393" t="str">
            <v>كمامات</v>
          </cell>
          <cell r="D393" t="str">
            <v>منظفات</v>
          </cell>
          <cell r="E393" t="str">
            <v>علبة</v>
          </cell>
          <cell r="F393" t="str">
            <v>الصحة الفريدة</v>
          </cell>
          <cell r="G393">
            <v>2.63</v>
          </cell>
          <cell r="H393">
            <v>3.5</v>
          </cell>
        </row>
        <row r="394">
          <cell r="B394">
            <v>70</v>
          </cell>
          <cell r="C394" t="str">
            <v>قفازات شفاف</v>
          </cell>
          <cell r="D394" t="str">
            <v>منظفات</v>
          </cell>
          <cell r="E394" t="str">
            <v>حبة</v>
          </cell>
          <cell r="F394">
            <v>0</v>
          </cell>
          <cell r="G394">
            <v>12.88</v>
          </cell>
          <cell r="H394" t="str">
            <v/>
          </cell>
        </row>
        <row r="395">
          <cell r="B395">
            <v>128</v>
          </cell>
          <cell r="C395" t="str">
            <v>قفازات لاتكس</v>
          </cell>
          <cell r="D395" t="str">
            <v>منظفات</v>
          </cell>
          <cell r="E395" t="str">
            <v>علبة</v>
          </cell>
          <cell r="F395" t="str">
            <v>الصحة الفريدة</v>
          </cell>
          <cell r="G395">
            <v>11.5</v>
          </cell>
          <cell r="H395">
            <v>16</v>
          </cell>
        </row>
        <row r="396">
          <cell r="B396">
            <v>146</v>
          </cell>
          <cell r="C396" t="str">
            <v>معطر ومطهر أرضيات</v>
          </cell>
          <cell r="D396" t="str">
            <v>منظفات</v>
          </cell>
          <cell r="E396" t="str">
            <v>لتر</v>
          </cell>
          <cell r="F396">
            <v>0</v>
          </cell>
          <cell r="G396">
            <v>4.4022345000000005</v>
          </cell>
          <cell r="H396">
            <v>3.7053000000000003</v>
          </cell>
        </row>
        <row r="397">
          <cell r="B397">
            <v>148</v>
          </cell>
          <cell r="C397" t="str">
            <v>معصم بلاستيك</v>
          </cell>
          <cell r="D397" t="str">
            <v>منظفات</v>
          </cell>
          <cell r="E397" t="str">
            <v>كيلو</v>
          </cell>
          <cell r="F397" t="str">
            <v>الظاهرى</v>
          </cell>
          <cell r="G397">
            <v>24.011178571428569</v>
          </cell>
          <cell r="H397">
            <v>29.914950000000005</v>
          </cell>
        </row>
        <row r="398">
          <cell r="B398">
            <v>183</v>
          </cell>
          <cell r="C398" t="str">
            <v>غطاء شوز</v>
          </cell>
          <cell r="D398" t="str">
            <v>منظفات</v>
          </cell>
          <cell r="E398" t="str">
            <v>كيلو</v>
          </cell>
          <cell r="F398" t="str">
            <v>الصحة الفريدة</v>
          </cell>
          <cell r="G398">
            <v>27.499949999999998</v>
          </cell>
          <cell r="H398" t="str">
            <v/>
          </cell>
        </row>
        <row r="399">
          <cell r="B399">
            <v>472</v>
          </cell>
          <cell r="C399" t="str">
            <v>غطاء رأس</v>
          </cell>
          <cell r="D399" t="str">
            <v>منظفات</v>
          </cell>
          <cell r="E399" t="str">
            <v>كيلو</v>
          </cell>
          <cell r="F399" t="str">
            <v>الظاهرى</v>
          </cell>
          <cell r="G399">
            <v>2.415</v>
          </cell>
          <cell r="H399" t="str">
            <v/>
          </cell>
        </row>
        <row r="400">
          <cell r="B400">
            <v>16</v>
          </cell>
          <cell r="C400" t="str">
            <v>اسفنج غسيل 20*9</v>
          </cell>
          <cell r="D400" t="str">
            <v>منظفات</v>
          </cell>
          <cell r="E400" t="str">
            <v>حبة</v>
          </cell>
          <cell r="F400" t="str">
            <v>واد العطاء</v>
          </cell>
          <cell r="G400">
            <v>0.62697067894736846</v>
          </cell>
          <cell r="H400">
            <v>0.54279999999999995</v>
          </cell>
        </row>
        <row r="401">
          <cell r="B401">
            <v>631</v>
          </cell>
          <cell r="C401" t="str">
            <v>معقم أسطح 700 مم</v>
          </cell>
          <cell r="D401" t="str">
            <v>منظفات</v>
          </cell>
          <cell r="E401" t="str">
            <v>لتر</v>
          </cell>
          <cell r="F401" t="str">
            <v>الظاهرى</v>
          </cell>
          <cell r="G401">
            <v>14.006455617218935</v>
          </cell>
          <cell r="H401">
            <v>13.69075</v>
          </cell>
        </row>
        <row r="402">
          <cell r="B402">
            <v>540</v>
          </cell>
          <cell r="C402" t="str">
            <v>ملمع استيل 300مم</v>
          </cell>
          <cell r="D402" t="str">
            <v>منظفات</v>
          </cell>
          <cell r="E402" t="str">
            <v>لتر</v>
          </cell>
          <cell r="F402" t="str">
            <v>واد العطاء</v>
          </cell>
          <cell r="G402">
            <v>26.566916666666661</v>
          </cell>
          <cell r="H402">
            <v>29.434249999999995</v>
          </cell>
        </row>
        <row r="403">
          <cell r="B403">
            <v>578</v>
          </cell>
          <cell r="C403" t="str">
            <v>ملمع زجاج بخاخ</v>
          </cell>
          <cell r="D403" t="str">
            <v>منظفات</v>
          </cell>
          <cell r="E403" t="str">
            <v>لتر</v>
          </cell>
          <cell r="F403" t="str">
            <v>الظاهرى</v>
          </cell>
          <cell r="G403">
            <v>4.4229000000000003</v>
          </cell>
          <cell r="H403">
            <v>4.4229000000000003</v>
          </cell>
        </row>
        <row r="404">
          <cell r="B404">
            <v>603</v>
          </cell>
          <cell r="C404" t="str">
            <v>مزيل دهون بخاخ  1 لتر</v>
          </cell>
          <cell r="D404" t="str">
            <v>منظفات</v>
          </cell>
          <cell r="E404" t="str">
            <v>لتر</v>
          </cell>
          <cell r="F404" t="str">
            <v>الظاهرى</v>
          </cell>
          <cell r="G404">
            <v>12.938000000000001</v>
          </cell>
          <cell r="H404">
            <v>12.9375</v>
          </cell>
        </row>
        <row r="405">
          <cell r="B405">
            <v>71</v>
          </cell>
          <cell r="C405" t="str">
            <v>قفاز اسود</v>
          </cell>
          <cell r="D405" t="str">
            <v>منظفات</v>
          </cell>
          <cell r="E405" t="str">
            <v>علبة</v>
          </cell>
          <cell r="F405" t="str">
            <v>الصحة الفريدة</v>
          </cell>
          <cell r="G405">
            <v>5.5</v>
          </cell>
          <cell r="H405">
            <v>6.8516483516483513</v>
          </cell>
        </row>
        <row r="406">
          <cell r="B406">
            <v>454</v>
          </cell>
          <cell r="C406" t="str">
            <v>أكياس نفايات 10 - المشربية</v>
          </cell>
          <cell r="D406" t="str">
            <v>منظفات</v>
          </cell>
          <cell r="E406" t="str">
            <v>كيلو</v>
          </cell>
          <cell r="F406" t="str">
            <v>الظاهرى</v>
          </cell>
          <cell r="G406">
            <v>6.7079500000000012</v>
          </cell>
          <cell r="H406">
            <v>11.711600000000001</v>
          </cell>
        </row>
        <row r="407">
          <cell r="B407">
            <v>502</v>
          </cell>
          <cell r="C407" t="str">
            <v>سبرتو 1 لتر - المشربية</v>
          </cell>
          <cell r="D407" t="str">
            <v>منظفات</v>
          </cell>
          <cell r="E407" t="str">
            <v>لتر</v>
          </cell>
          <cell r="F407">
            <v>0</v>
          </cell>
          <cell r="G407">
            <v>0</v>
          </cell>
          <cell r="H407" t="str">
            <v/>
          </cell>
        </row>
        <row r="408">
          <cell r="B408">
            <v>40</v>
          </cell>
          <cell r="C408" t="str">
            <v>ملمع استيل 700مل</v>
          </cell>
          <cell r="D408" t="str">
            <v>منظفات</v>
          </cell>
          <cell r="E408" t="str">
            <v>لتر</v>
          </cell>
          <cell r="F408">
            <v>0</v>
          </cell>
          <cell r="G408">
            <v>16.53125</v>
          </cell>
          <cell r="H408" t="str">
            <v/>
          </cell>
        </row>
        <row r="409">
          <cell r="B409">
            <v>651</v>
          </cell>
          <cell r="C409" t="str">
            <v>فحم اندونيسى 10 كيلو</v>
          </cell>
          <cell r="D409" t="str">
            <v>أدوات تشغيل</v>
          </cell>
          <cell r="E409" t="str">
            <v>كرتون</v>
          </cell>
          <cell r="F409" t="str">
            <v>مشتريات مباشرة</v>
          </cell>
          <cell r="G409">
            <v>0</v>
          </cell>
          <cell r="H409" t="str">
            <v/>
          </cell>
        </row>
        <row r="410">
          <cell r="B410">
            <v>176</v>
          </cell>
          <cell r="C410" t="str">
            <v>دسبنسر صابون</v>
          </cell>
          <cell r="D410" t="str">
            <v>أدوات تشغيل</v>
          </cell>
          <cell r="E410" t="str">
            <v>حبة</v>
          </cell>
          <cell r="F410">
            <v>0</v>
          </cell>
          <cell r="G410">
            <v>12.458333333333334</v>
          </cell>
          <cell r="H410" t="str">
            <v/>
          </cell>
        </row>
        <row r="411">
          <cell r="B411">
            <v>132</v>
          </cell>
          <cell r="C411" t="str">
            <v>ريش تهوية</v>
          </cell>
          <cell r="D411" t="str">
            <v>أدوات تشغيل</v>
          </cell>
          <cell r="E411" t="str">
            <v>حبة</v>
          </cell>
          <cell r="F411">
            <v>0</v>
          </cell>
          <cell r="G411">
            <v>0</v>
          </cell>
          <cell r="H411" t="str">
            <v/>
          </cell>
        </row>
        <row r="412">
          <cell r="B412">
            <v>135</v>
          </cell>
          <cell r="C412" t="str">
            <v>مكنسة</v>
          </cell>
          <cell r="D412" t="str">
            <v>أدوات تشغيل</v>
          </cell>
          <cell r="E412" t="str">
            <v>حبة</v>
          </cell>
          <cell r="F412">
            <v>0</v>
          </cell>
          <cell r="G412">
            <v>0</v>
          </cell>
          <cell r="H412" t="str">
            <v/>
          </cell>
        </row>
        <row r="413">
          <cell r="B413">
            <v>180</v>
          </cell>
          <cell r="C413" t="str">
            <v>مساحة أرضيات قماش</v>
          </cell>
          <cell r="D413" t="str">
            <v>أدوات تشغيل</v>
          </cell>
          <cell r="E413" t="str">
            <v>حبة</v>
          </cell>
          <cell r="F413">
            <v>0</v>
          </cell>
          <cell r="G413">
            <v>0</v>
          </cell>
          <cell r="H413" t="str">
            <v/>
          </cell>
        </row>
        <row r="414">
          <cell r="B414">
            <v>187</v>
          </cell>
          <cell r="C414" t="str">
            <v>بخاخ منظفات</v>
          </cell>
          <cell r="D414" t="str">
            <v>أدوات تشغيل</v>
          </cell>
          <cell r="E414" t="str">
            <v>حبة</v>
          </cell>
          <cell r="F414">
            <v>0</v>
          </cell>
          <cell r="G414">
            <v>0</v>
          </cell>
          <cell r="H414" t="str">
            <v/>
          </cell>
        </row>
        <row r="415">
          <cell r="B415">
            <v>620</v>
          </cell>
          <cell r="C415" t="str">
            <v>لوحة شرف - الموظف المثالي</v>
          </cell>
          <cell r="D415" t="str">
            <v>أدوات تشغيل</v>
          </cell>
          <cell r="E415" t="str">
            <v>عدد</v>
          </cell>
          <cell r="F415">
            <v>0</v>
          </cell>
          <cell r="G415">
            <v>0</v>
          </cell>
          <cell r="H415" t="str">
            <v/>
          </cell>
        </row>
        <row r="416">
          <cell r="B416">
            <v>366</v>
          </cell>
          <cell r="C416" t="str">
            <v>برامات فخار</v>
          </cell>
          <cell r="D416" t="str">
            <v>أدوات تشغيل</v>
          </cell>
          <cell r="E416" t="str">
            <v>حبة</v>
          </cell>
          <cell r="F416">
            <v>0</v>
          </cell>
          <cell r="G416">
            <v>0</v>
          </cell>
          <cell r="H416" t="str">
            <v/>
          </cell>
        </row>
        <row r="417">
          <cell r="B417">
            <v>636</v>
          </cell>
          <cell r="C417" t="str">
            <v>أكواب شاي زجاج</v>
          </cell>
          <cell r="D417" t="str">
            <v>أدوات تشغيل</v>
          </cell>
          <cell r="E417" t="str">
            <v>كرتونة</v>
          </cell>
          <cell r="F417">
            <v>0</v>
          </cell>
          <cell r="G417">
            <v>0</v>
          </cell>
          <cell r="H417" t="str">
            <v/>
          </cell>
        </row>
        <row r="418">
          <cell r="B418">
            <v>847</v>
          </cell>
          <cell r="C418" t="str">
            <v>فحم اندونيسي 5 كيلو</v>
          </cell>
          <cell r="D418" t="str">
            <v>أدوات تشغيل</v>
          </cell>
          <cell r="E418" t="str">
            <v>كرتونة</v>
          </cell>
          <cell r="F418" t="str">
            <v>مشتريات مباشرة</v>
          </cell>
          <cell r="G418">
            <v>0</v>
          </cell>
          <cell r="H418" t="str">
            <v/>
          </cell>
        </row>
        <row r="419">
          <cell r="B419">
            <v>77</v>
          </cell>
          <cell r="C419" t="str">
            <v>تيشرت بولو مع الشعار</v>
          </cell>
          <cell r="D419" t="str">
            <v>يونيفورم</v>
          </cell>
          <cell r="E419" t="str">
            <v>حبة</v>
          </cell>
          <cell r="F419">
            <v>0</v>
          </cell>
          <cell r="G419">
            <v>34.5</v>
          </cell>
          <cell r="H419" t="str">
            <v/>
          </cell>
        </row>
        <row r="420">
          <cell r="B420">
            <v>78</v>
          </cell>
          <cell r="C420" t="str">
            <v>مريلة إبروم</v>
          </cell>
          <cell r="D420" t="str">
            <v>يونيفورم</v>
          </cell>
          <cell r="E420" t="str">
            <v>حبة</v>
          </cell>
          <cell r="F420">
            <v>0</v>
          </cell>
          <cell r="G420">
            <v>92</v>
          </cell>
          <cell r="H420" t="str">
            <v/>
          </cell>
        </row>
        <row r="421">
          <cell r="B421">
            <v>129</v>
          </cell>
          <cell r="C421" t="str">
            <v>كاب</v>
          </cell>
          <cell r="D421" t="str">
            <v>يونيفورم</v>
          </cell>
          <cell r="E421" t="str">
            <v>حبة</v>
          </cell>
          <cell r="F421">
            <v>0</v>
          </cell>
          <cell r="G421">
            <v>17.25</v>
          </cell>
          <cell r="H421" t="str">
            <v/>
          </cell>
        </row>
        <row r="422">
          <cell r="B422">
            <v>130</v>
          </cell>
          <cell r="C422" t="str">
            <v>بنطلون بني</v>
          </cell>
          <cell r="D422" t="str">
            <v>يونيفورم</v>
          </cell>
          <cell r="E422" t="str">
            <v>حبة</v>
          </cell>
          <cell r="F422">
            <v>0</v>
          </cell>
          <cell r="G422">
            <v>0</v>
          </cell>
          <cell r="H422" t="str">
            <v/>
          </cell>
        </row>
        <row r="423">
          <cell r="B423">
            <v>155</v>
          </cell>
          <cell r="C423" t="str">
            <v>تيشرت أسود</v>
          </cell>
          <cell r="D423" t="str">
            <v>يونيفورم</v>
          </cell>
          <cell r="E423" t="str">
            <v>حبة</v>
          </cell>
          <cell r="F423">
            <v>0</v>
          </cell>
          <cell r="G423">
            <v>34.5</v>
          </cell>
          <cell r="H423" t="str">
            <v/>
          </cell>
        </row>
        <row r="424">
          <cell r="B424">
            <v>156</v>
          </cell>
          <cell r="C424" t="str">
            <v>تيشرت أحمر</v>
          </cell>
          <cell r="D424" t="str">
            <v>يونيفورم</v>
          </cell>
          <cell r="E424" t="str">
            <v>حبة</v>
          </cell>
          <cell r="F424">
            <v>0</v>
          </cell>
          <cell r="G424">
            <v>34.5</v>
          </cell>
          <cell r="H424" t="str">
            <v/>
          </cell>
        </row>
        <row r="425">
          <cell r="B425">
            <v>157</v>
          </cell>
          <cell r="C425" t="str">
            <v>معصم أسود</v>
          </cell>
          <cell r="D425" t="str">
            <v>يونيفورم</v>
          </cell>
          <cell r="E425" t="str">
            <v>حبة</v>
          </cell>
          <cell r="F425">
            <v>0</v>
          </cell>
          <cell r="G425">
            <v>0</v>
          </cell>
          <cell r="H425" t="str">
            <v/>
          </cell>
        </row>
        <row r="426">
          <cell r="B426">
            <v>274</v>
          </cell>
          <cell r="C426" t="str">
            <v>نيم تاق - اسطف</v>
          </cell>
          <cell r="D426" t="str">
            <v>يونيفورم</v>
          </cell>
          <cell r="E426" t="str">
            <v>حبة</v>
          </cell>
          <cell r="F426">
            <v>0</v>
          </cell>
          <cell r="G426">
            <v>0</v>
          </cell>
          <cell r="H426" t="str">
            <v/>
          </cell>
        </row>
        <row r="427">
          <cell r="B427">
            <v>102</v>
          </cell>
          <cell r="C427" t="str">
            <v>لحم عجل قطع</v>
          </cell>
          <cell r="D427" t="str">
            <v>اللحوم</v>
          </cell>
          <cell r="E427" t="str">
            <v>كيلو</v>
          </cell>
          <cell r="F427" t="str">
            <v>الجوهرة</v>
          </cell>
          <cell r="G427">
            <v>49.26</v>
          </cell>
          <cell r="H427">
            <v>49.26</v>
          </cell>
        </row>
        <row r="428">
          <cell r="B428">
            <v>103</v>
          </cell>
          <cell r="C428" t="str">
            <v>لحم غنم قطع</v>
          </cell>
          <cell r="D428" t="str">
            <v>اللحوم</v>
          </cell>
          <cell r="E428" t="str">
            <v>كيلو</v>
          </cell>
          <cell r="F428" t="str">
            <v>الجوهرة</v>
          </cell>
          <cell r="G428">
            <v>60.429999999999993</v>
          </cell>
          <cell r="H428">
            <v>60.429999999999993</v>
          </cell>
        </row>
        <row r="429">
          <cell r="B429">
            <v>599</v>
          </cell>
          <cell r="C429" t="str">
            <v>لحم غنم شاورما</v>
          </cell>
          <cell r="D429" t="str">
            <v>اللحوم</v>
          </cell>
          <cell r="E429" t="str">
            <v>كيلو</v>
          </cell>
          <cell r="F429" t="str">
            <v>الجوهرة</v>
          </cell>
          <cell r="G429">
            <v>60.429999999999993</v>
          </cell>
          <cell r="H429">
            <v>60.43</v>
          </cell>
        </row>
        <row r="430">
          <cell r="B430">
            <v>600</v>
          </cell>
          <cell r="C430" t="str">
            <v>لحم عجل شاورما</v>
          </cell>
          <cell r="D430" t="str">
            <v>اللحوم</v>
          </cell>
          <cell r="E430" t="str">
            <v>كيلو</v>
          </cell>
          <cell r="F430" t="str">
            <v>الجوهرة</v>
          </cell>
          <cell r="G430">
            <v>49.26</v>
          </cell>
          <cell r="H430">
            <v>49.26</v>
          </cell>
        </row>
        <row r="431">
          <cell r="B431">
            <v>83</v>
          </cell>
          <cell r="C431" t="str">
            <v>كبدة</v>
          </cell>
          <cell r="D431" t="str">
            <v>اللحوم</v>
          </cell>
          <cell r="E431" t="str">
            <v>كيلو</v>
          </cell>
          <cell r="F431" t="str">
            <v>الجوهرة</v>
          </cell>
          <cell r="G431">
            <v>49.57</v>
          </cell>
          <cell r="H431">
            <v>49.569999999999993</v>
          </cell>
        </row>
        <row r="432">
          <cell r="B432">
            <v>777</v>
          </cell>
          <cell r="C432" t="str">
            <v>سجق مصنع</v>
          </cell>
          <cell r="D432" t="str">
            <v>اللحوم</v>
          </cell>
          <cell r="E432" t="str">
            <v>كيلو</v>
          </cell>
          <cell r="F432" t="str">
            <v>الجوهرة</v>
          </cell>
          <cell r="G432">
            <v>40</v>
          </cell>
          <cell r="H432" t="str">
            <v/>
          </cell>
        </row>
        <row r="433">
          <cell r="B433">
            <v>159</v>
          </cell>
          <cell r="C433" t="str">
            <v>ثوم كبدة</v>
          </cell>
          <cell r="D433" t="str">
            <v>منتجات مصنعة</v>
          </cell>
          <cell r="E433" t="str">
            <v>كيلو</v>
          </cell>
          <cell r="F433">
            <v>0</v>
          </cell>
          <cell r="G433">
            <v>0</v>
          </cell>
          <cell r="H433" t="str">
            <v/>
          </cell>
        </row>
        <row r="434">
          <cell r="B434">
            <v>429</v>
          </cell>
          <cell r="C434" t="str">
            <v>ملفية جاهز</v>
          </cell>
          <cell r="D434" t="str">
            <v>منتجات مصنعة</v>
          </cell>
          <cell r="E434" t="str">
            <v>كيلو</v>
          </cell>
          <cell r="F434">
            <v>0</v>
          </cell>
          <cell r="G434">
            <v>0</v>
          </cell>
          <cell r="H434" t="str">
            <v/>
          </cell>
        </row>
        <row r="435">
          <cell r="B435">
            <v>430</v>
          </cell>
          <cell r="C435" t="str">
            <v>تر</v>
          </cell>
          <cell r="D435" t="str">
            <v>منتجات مصنعة</v>
          </cell>
          <cell r="E435" t="str">
            <v>حبة</v>
          </cell>
          <cell r="F435">
            <v>0</v>
          </cell>
          <cell r="G435">
            <v>0</v>
          </cell>
          <cell r="H435" t="str">
            <v/>
          </cell>
        </row>
        <row r="436">
          <cell r="B436">
            <v>542</v>
          </cell>
          <cell r="C436" t="str">
            <v>عصير مانجو فريش</v>
          </cell>
          <cell r="D436" t="str">
            <v>منتجات مصنعة</v>
          </cell>
          <cell r="E436" t="str">
            <v>لتر</v>
          </cell>
          <cell r="F436">
            <v>0</v>
          </cell>
          <cell r="G436">
            <v>0</v>
          </cell>
          <cell r="H436" t="str">
            <v/>
          </cell>
        </row>
        <row r="437">
          <cell r="B437">
            <v>543</v>
          </cell>
          <cell r="C437" t="str">
            <v>عصير فراولة فريش</v>
          </cell>
          <cell r="D437" t="str">
            <v>منتجات مصنعة</v>
          </cell>
          <cell r="E437" t="str">
            <v>لتر</v>
          </cell>
          <cell r="F437">
            <v>0</v>
          </cell>
          <cell r="G437">
            <v>0</v>
          </cell>
          <cell r="H437" t="str">
            <v/>
          </cell>
        </row>
        <row r="438">
          <cell r="B438">
            <v>590</v>
          </cell>
          <cell r="C438" t="str">
            <v>قطعة طرب كبير</v>
          </cell>
          <cell r="D438" t="str">
            <v>منتجات مصنعة</v>
          </cell>
          <cell r="E438" t="str">
            <v>حبة</v>
          </cell>
          <cell r="F438">
            <v>0</v>
          </cell>
          <cell r="G438">
            <v>0</v>
          </cell>
          <cell r="H438" t="str">
            <v/>
          </cell>
        </row>
        <row r="439">
          <cell r="B439">
            <v>591</v>
          </cell>
          <cell r="C439" t="str">
            <v>قطعة طرب صغير</v>
          </cell>
          <cell r="D439" t="str">
            <v>منتجات مصنعة</v>
          </cell>
          <cell r="E439" t="str">
            <v>حبة</v>
          </cell>
          <cell r="F439">
            <v>0</v>
          </cell>
          <cell r="G439">
            <v>0</v>
          </cell>
          <cell r="H439" t="str">
            <v/>
          </cell>
        </row>
        <row r="440">
          <cell r="B440">
            <v>592</v>
          </cell>
          <cell r="C440" t="str">
            <v>كبدة اسكندراني</v>
          </cell>
          <cell r="D440" t="str">
            <v>منتجات مصنعة</v>
          </cell>
          <cell r="E440" t="str">
            <v>كيلو</v>
          </cell>
          <cell r="F440">
            <v>0</v>
          </cell>
          <cell r="G440">
            <v>0</v>
          </cell>
          <cell r="H440" t="str">
            <v/>
          </cell>
        </row>
        <row r="441">
          <cell r="B441">
            <v>625</v>
          </cell>
          <cell r="C441" t="str">
            <v>صلصة مكرونة</v>
          </cell>
          <cell r="D441" t="str">
            <v>منتجات مصنعة</v>
          </cell>
          <cell r="E441" t="str">
            <v>كيلو</v>
          </cell>
          <cell r="F441">
            <v>0</v>
          </cell>
          <cell r="G441">
            <v>0</v>
          </cell>
          <cell r="H441" t="str">
            <v/>
          </cell>
        </row>
        <row r="442">
          <cell r="B442">
            <v>742</v>
          </cell>
          <cell r="C442" t="str">
            <v>صوص جبنة - المشربية</v>
          </cell>
          <cell r="D442" t="str">
            <v>منتجات مصنعة</v>
          </cell>
          <cell r="E442" t="str">
            <v>كيلو</v>
          </cell>
          <cell r="F442">
            <v>0</v>
          </cell>
          <cell r="G442">
            <v>0</v>
          </cell>
          <cell r="H442" t="str">
            <v/>
          </cell>
        </row>
        <row r="443">
          <cell r="B443">
            <v>747</v>
          </cell>
          <cell r="C443" t="str">
            <v>عيش شامي المشربية</v>
          </cell>
          <cell r="D443" t="str">
            <v>منتجات مصنعة</v>
          </cell>
          <cell r="E443" t="str">
            <v>حبة</v>
          </cell>
          <cell r="F443">
            <v>0</v>
          </cell>
          <cell r="G443">
            <v>0</v>
          </cell>
          <cell r="H443" t="str">
            <v/>
          </cell>
        </row>
        <row r="444">
          <cell r="B444">
            <v>79</v>
          </cell>
          <cell r="C444" t="str">
            <v>سلطة طماطم</v>
          </cell>
          <cell r="D444" t="str">
            <v>منتجات مصنعة</v>
          </cell>
          <cell r="E444" t="str">
            <v>كيلو</v>
          </cell>
          <cell r="F444">
            <v>0</v>
          </cell>
          <cell r="G444">
            <v>0</v>
          </cell>
          <cell r="H444" t="str">
            <v/>
          </cell>
        </row>
        <row r="445">
          <cell r="B445">
            <v>80</v>
          </cell>
          <cell r="C445" t="str">
            <v>سلطة طحينة</v>
          </cell>
          <cell r="D445" t="str">
            <v>منتجات مصنعة</v>
          </cell>
          <cell r="E445" t="str">
            <v>كيلو</v>
          </cell>
          <cell r="F445">
            <v>0</v>
          </cell>
          <cell r="G445">
            <v>0</v>
          </cell>
          <cell r="H445" t="str">
            <v/>
          </cell>
        </row>
        <row r="446">
          <cell r="B446">
            <v>81</v>
          </cell>
          <cell r="C446" t="str">
            <v>سلطة سجق</v>
          </cell>
          <cell r="D446" t="str">
            <v>منتجات مصنعة</v>
          </cell>
          <cell r="E446" t="str">
            <v>كيلو</v>
          </cell>
          <cell r="F446">
            <v>0</v>
          </cell>
          <cell r="G446">
            <v>0</v>
          </cell>
          <cell r="H446" t="str">
            <v/>
          </cell>
        </row>
        <row r="447">
          <cell r="B447">
            <v>82</v>
          </cell>
          <cell r="C447" t="str">
            <v>كفتة</v>
          </cell>
          <cell r="D447" t="str">
            <v>منتجات مصنعة</v>
          </cell>
          <cell r="E447" t="str">
            <v>كيلو</v>
          </cell>
          <cell r="F447">
            <v>0</v>
          </cell>
          <cell r="G447">
            <v>0</v>
          </cell>
          <cell r="H447" t="str">
            <v/>
          </cell>
        </row>
        <row r="448">
          <cell r="B448">
            <v>84</v>
          </cell>
          <cell r="C448" t="str">
            <v xml:space="preserve">سجق </v>
          </cell>
          <cell r="D448" t="str">
            <v>منتجات مصنعة</v>
          </cell>
          <cell r="E448" t="str">
            <v>كيلو</v>
          </cell>
          <cell r="F448">
            <v>0</v>
          </cell>
          <cell r="G448">
            <v>0</v>
          </cell>
          <cell r="H448" t="str">
            <v/>
          </cell>
        </row>
        <row r="449">
          <cell r="B449">
            <v>85</v>
          </cell>
          <cell r="C449" t="str">
            <v>حواوشي</v>
          </cell>
          <cell r="D449" t="str">
            <v>منتجات مصنعة</v>
          </cell>
          <cell r="E449" t="str">
            <v>كيلو</v>
          </cell>
          <cell r="F449">
            <v>0</v>
          </cell>
          <cell r="G449">
            <v>0</v>
          </cell>
          <cell r="H449" t="str">
            <v/>
          </cell>
        </row>
        <row r="450">
          <cell r="B450">
            <v>88</v>
          </cell>
          <cell r="C450" t="str">
            <v>شاورما مصنعة</v>
          </cell>
          <cell r="D450" t="str">
            <v>منتجات مصنعة</v>
          </cell>
          <cell r="E450" t="str">
            <v>كيلو</v>
          </cell>
          <cell r="F450">
            <v>0</v>
          </cell>
          <cell r="G450">
            <v>0</v>
          </cell>
          <cell r="H450" t="str">
            <v/>
          </cell>
        </row>
        <row r="451">
          <cell r="B451">
            <v>818</v>
          </cell>
          <cell r="C451" t="str">
            <v>ليمون بلدي</v>
          </cell>
          <cell r="D451" t="str">
            <v>الخضار</v>
          </cell>
          <cell r="E451" t="str">
            <v>كيلو</v>
          </cell>
          <cell r="F451">
            <v>0</v>
          </cell>
          <cell r="G451">
            <v>0</v>
          </cell>
          <cell r="H451" t="str">
            <v/>
          </cell>
        </row>
        <row r="452">
          <cell r="B452">
            <v>548</v>
          </cell>
          <cell r="C452" t="str">
            <v>كيوي</v>
          </cell>
          <cell r="D452" t="str">
            <v>الخضار</v>
          </cell>
          <cell r="E452" t="str">
            <v>كيلو</v>
          </cell>
          <cell r="F452" t="str">
            <v>فروت مكس</v>
          </cell>
          <cell r="G452">
            <v>9.2000000000000011</v>
          </cell>
          <cell r="H452">
            <v>9.1999999999999993</v>
          </cell>
        </row>
        <row r="453">
          <cell r="B453">
            <v>100</v>
          </cell>
          <cell r="C453" t="str">
            <v>شمام</v>
          </cell>
          <cell r="D453" t="str">
            <v>الخضار</v>
          </cell>
          <cell r="E453" t="str">
            <v>كيلو</v>
          </cell>
          <cell r="F453" t="str">
            <v>فروت مكس</v>
          </cell>
          <cell r="G453">
            <v>4.37</v>
          </cell>
          <cell r="H453">
            <v>4.37</v>
          </cell>
        </row>
        <row r="454">
          <cell r="B454">
            <v>124</v>
          </cell>
          <cell r="C454" t="str">
            <v>جرجير</v>
          </cell>
          <cell r="D454" t="str">
            <v>الخضار</v>
          </cell>
          <cell r="E454" t="str">
            <v>كيلو</v>
          </cell>
          <cell r="F454" t="str">
            <v>فروت مكس</v>
          </cell>
          <cell r="G454">
            <v>4.6000000000000005</v>
          </cell>
          <cell r="H454">
            <v>4.5999999999999996</v>
          </cell>
        </row>
        <row r="455">
          <cell r="B455">
            <v>125</v>
          </cell>
          <cell r="C455" t="str">
            <v>نعناع</v>
          </cell>
          <cell r="D455" t="str">
            <v>الخضار</v>
          </cell>
          <cell r="E455" t="str">
            <v>كيلو</v>
          </cell>
          <cell r="F455" t="str">
            <v>فروت مكس</v>
          </cell>
          <cell r="G455">
            <v>4.5999999999999988</v>
          </cell>
          <cell r="H455">
            <v>4.5999999999999988</v>
          </cell>
        </row>
        <row r="456">
          <cell r="B456">
            <v>126</v>
          </cell>
          <cell r="C456" t="str">
            <v>بصل برنواز</v>
          </cell>
          <cell r="D456" t="str">
            <v>الخضار</v>
          </cell>
          <cell r="E456" t="str">
            <v>كيلو</v>
          </cell>
          <cell r="F456">
            <v>0</v>
          </cell>
          <cell r="G456">
            <v>0</v>
          </cell>
          <cell r="H456" t="str">
            <v/>
          </cell>
        </row>
        <row r="457">
          <cell r="B457">
            <v>518</v>
          </cell>
          <cell r="C457" t="str">
            <v>ليمون كبدة</v>
          </cell>
          <cell r="D457" t="str">
            <v>الخضار</v>
          </cell>
          <cell r="E457" t="str">
            <v>كيلو</v>
          </cell>
          <cell r="F457" t="str">
            <v>فروت مكس</v>
          </cell>
          <cell r="G457">
            <v>6.8999999999999995</v>
          </cell>
          <cell r="H457">
            <v>6.8762068965517233</v>
          </cell>
        </row>
        <row r="458">
          <cell r="B458">
            <v>544</v>
          </cell>
          <cell r="C458" t="str">
            <v>مانجو</v>
          </cell>
          <cell r="D458" t="str">
            <v>الخضار</v>
          </cell>
          <cell r="E458" t="str">
            <v>كيلو</v>
          </cell>
          <cell r="F458" t="str">
            <v>فروت مكس</v>
          </cell>
          <cell r="G458">
            <v>10.35</v>
          </cell>
          <cell r="H458">
            <v>10.350000000000001</v>
          </cell>
        </row>
        <row r="459">
          <cell r="B459">
            <v>576</v>
          </cell>
          <cell r="C459" t="str">
            <v>كوسا</v>
          </cell>
          <cell r="D459" t="str">
            <v>الخضار</v>
          </cell>
          <cell r="E459" t="str">
            <v>كيلو</v>
          </cell>
          <cell r="F459" t="str">
            <v>فروت مكس</v>
          </cell>
          <cell r="G459">
            <v>4.6000000000000005</v>
          </cell>
          <cell r="H459">
            <v>4.6000000000000005</v>
          </cell>
        </row>
        <row r="460">
          <cell r="B460">
            <v>583</v>
          </cell>
          <cell r="C460" t="str">
            <v>جزر</v>
          </cell>
          <cell r="D460" t="str">
            <v>الخضار</v>
          </cell>
          <cell r="E460" t="str">
            <v>كيلو</v>
          </cell>
          <cell r="F460" t="str">
            <v>فروت مكس</v>
          </cell>
          <cell r="G460">
            <v>4.5999999999999988</v>
          </cell>
          <cell r="H460">
            <v>4.5999999999999996</v>
          </cell>
        </row>
        <row r="461">
          <cell r="B461">
            <v>755</v>
          </cell>
          <cell r="C461" t="str">
            <v>بصل جوانح</v>
          </cell>
          <cell r="D461" t="str">
            <v>الخضار</v>
          </cell>
          <cell r="E461" t="str">
            <v>كيلو</v>
          </cell>
          <cell r="F461">
            <v>0</v>
          </cell>
          <cell r="G461">
            <v>0</v>
          </cell>
          <cell r="H461" t="str">
            <v/>
          </cell>
        </row>
        <row r="462">
          <cell r="B462">
            <v>89</v>
          </cell>
          <cell r="C462" t="str">
            <v>طماطم</v>
          </cell>
          <cell r="D462" t="str">
            <v>الخضار</v>
          </cell>
          <cell r="E462" t="str">
            <v>كيلو</v>
          </cell>
          <cell r="F462" t="str">
            <v>فروت مكس</v>
          </cell>
          <cell r="G462">
            <v>4.0249999999999995</v>
          </cell>
          <cell r="H462">
            <v>4.6000000000000005</v>
          </cell>
        </row>
        <row r="463">
          <cell r="B463">
            <v>91</v>
          </cell>
          <cell r="C463" t="str">
            <v>بصل احمر</v>
          </cell>
          <cell r="D463" t="str">
            <v>الخضار</v>
          </cell>
          <cell r="E463" t="str">
            <v>كيلو</v>
          </cell>
          <cell r="F463" t="str">
            <v>فروت مكس</v>
          </cell>
          <cell r="G463">
            <v>3.4500000000000011</v>
          </cell>
          <cell r="H463">
            <v>3.4500000000000006</v>
          </cell>
        </row>
        <row r="464">
          <cell r="B464">
            <v>93</v>
          </cell>
          <cell r="C464" t="str">
            <v>بقدونس</v>
          </cell>
          <cell r="D464" t="str">
            <v>الخضار</v>
          </cell>
          <cell r="E464" t="str">
            <v>كيلو</v>
          </cell>
          <cell r="F464" t="str">
            <v>فروت مكس</v>
          </cell>
          <cell r="G464">
            <v>4.5999999999999996</v>
          </cell>
          <cell r="H464">
            <v>4.6000000000000005</v>
          </cell>
        </row>
        <row r="465">
          <cell r="B465">
            <v>94</v>
          </cell>
          <cell r="C465" t="str">
            <v>فلفل رومى الوان</v>
          </cell>
          <cell r="D465" t="str">
            <v>الخضار</v>
          </cell>
          <cell r="E465" t="str">
            <v>كيلو</v>
          </cell>
          <cell r="F465" t="str">
            <v>فروت مكس</v>
          </cell>
          <cell r="G465">
            <v>9.1999999999999993</v>
          </cell>
          <cell r="H465">
            <v>9.2000000000000011</v>
          </cell>
        </row>
        <row r="466">
          <cell r="B466">
            <v>95</v>
          </cell>
          <cell r="C466" t="str">
            <v xml:space="preserve">ثوم </v>
          </cell>
          <cell r="D466" t="str">
            <v>الخضار</v>
          </cell>
          <cell r="E466" t="str">
            <v>كيلو</v>
          </cell>
          <cell r="F466" t="str">
            <v>فروت مكس</v>
          </cell>
          <cell r="G466">
            <v>11.5</v>
          </cell>
          <cell r="H466">
            <v>11.500000000000005</v>
          </cell>
        </row>
        <row r="467">
          <cell r="B467">
            <v>96</v>
          </cell>
          <cell r="C467" t="str">
            <v>بطاطس</v>
          </cell>
          <cell r="D467" t="str">
            <v>الخضار</v>
          </cell>
          <cell r="E467" t="str">
            <v>كيلو</v>
          </cell>
          <cell r="F467" t="str">
            <v>فروت مكس</v>
          </cell>
          <cell r="G467">
            <v>3.45</v>
          </cell>
          <cell r="H467">
            <v>3.4499999999999997</v>
          </cell>
        </row>
        <row r="468">
          <cell r="B468">
            <v>97</v>
          </cell>
          <cell r="C468" t="str">
            <v>فلفل مشاوى</v>
          </cell>
          <cell r="D468" t="str">
            <v>الخضار</v>
          </cell>
          <cell r="E468" t="str">
            <v>كيلو</v>
          </cell>
          <cell r="F468" t="str">
            <v>فروت مكس</v>
          </cell>
          <cell r="G468">
            <v>5.7500000000000009</v>
          </cell>
          <cell r="H468">
            <v>5.75</v>
          </cell>
        </row>
        <row r="469">
          <cell r="B469">
            <v>98</v>
          </cell>
          <cell r="C469" t="str">
            <v xml:space="preserve">ليمون </v>
          </cell>
          <cell r="D469" t="str">
            <v>الخضار</v>
          </cell>
          <cell r="E469" t="str">
            <v>كيلو</v>
          </cell>
          <cell r="F469" t="str">
            <v>فروت مكس</v>
          </cell>
          <cell r="G469">
            <v>5.7500000000000009</v>
          </cell>
          <cell r="H469">
            <v>5.75</v>
          </cell>
        </row>
        <row r="470">
          <cell r="B470">
            <v>99</v>
          </cell>
          <cell r="C470" t="str">
            <v>بطيخ</v>
          </cell>
          <cell r="D470" t="str">
            <v>الخضار</v>
          </cell>
          <cell r="E470" t="str">
            <v>كيلو</v>
          </cell>
          <cell r="F470" t="str">
            <v>فروت مكس</v>
          </cell>
          <cell r="G470">
            <v>3.4499999999999993</v>
          </cell>
          <cell r="H470">
            <v>4.3125</v>
          </cell>
        </row>
        <row r="471">
          <cell r="B471">
            <v>90</v>
          </cell>
          <cell r="C471" t="str">
            <v>بصل ابيض</v>
          </cell>
          <cell r="D471" t="str">
            <v>الخضار</v>
          </cell>
          <cell r="E471" t="str">
            <v>كيلو</v>
          </cell>
          <cell r="F471" t="str">
            <v>فروت مكس</v>
          </cell>
          <cell r="G471">
            <v>4.370000000000001</v>
          </cell>
          <cell r="H471">
            <v>4.3699999999999992</v>
          </cell>
        </row>
        <row r="472">
          <cell r="B472">
            <v>546</v>
          </cell>
          <cell r="C472" t="str">
            <v>كزبرة</v>
          </cell>
          <cell r="D472" t="str">
            <v>الخضار</v>
          </cell>
          <cell r="E472" t="str">
            <v>كيلو</v>
          </cell>
          <cell r="F472" t="str">
            <v>فروت مكس</v>
          </cell>
          <cell r="G472">
            <v>4.6000000000000005</v>
          </cell>
          <cell r="H472">
            <v>4.5999999999999996</v>
          </cell>
        </row>
        <row r="473">
          <cell r="B473">
            <v>101</v>
          </cell>
          <cell r="C473" t="str">
            <v>فلفل رومى اخضر</v>
          </cell>
          <cell r="D473" t="str">
            <v>الخضار</v>
          </cell>
          <cell r="E473" t="str">
            <v>كيلو</v>
          </cell>
          <cell r="F473" t="str">
            <v>فروت مكس</v>
          </cell>
          <cell r="G473">
            <v>4.5999999999999988</v>
          </cell>
          <cell r="H473">
            <v>4.5999999999999996</v>
          </cell>
        </row>
        <row r="474">
          <cell r="B474">
            <v>421</v>
          </cell>
          <cell r="C474" t="str">
            <v>بسبوسة حلا</v>
          </cell>
          <cell r="D474" t="str">
            <v>مواد غذائية (طحينة)</v>
          </cell>
          <cell r="E474" t="str">
            <v>كيلو</v>
          </cell>
          <cell r="F474">
            <v>0</v>
          </cell>
          <cell r="G474">
            <v>0</v>
          </cell>
          <cell r="H474" t="str">
            <v/>
          </cell>
        </row>
        <row r="475">
          <cell r="B475">
            <v>407</v>
          </cell>
          <cell r="C475" t="str">
            <v>كنافة حلا</v>
          </cell>
          <cell r="D475" t="str">
            <v>مواد غذائية (طحينة)</v>
          </cell>
          <cell r="E475" t="str">
            <v>كيلو</v>
          </cell>
          <cell r="F475">
            <v>0</v>
          </cell>
          <cell r="G475">
            <v>0</v>
          </cell>
          <cell r="H475" t="str">
            <v/>
          </cell>
        </row>
        <row r="476">
          <cell r="B476">
            <v>105</v>
          </cell>
          <cell r="C476" t="str">
            <v>منديل طرب</v>
          </cell>
          <cell r="D476" t="str">
            <v>اللحوم المساعدة</v>
          </cell>
          <cell r="E476" t="str">
            <v>كيلو</v>
          </cell>
          <cell r="F476" t="str">
            <v>مشتريات مباشرة</v>
          </cell>
          <cell r="G476">
            <v>9.5047547760406914</v>
          </cell>
          <cell r="H476">
            <v>9.0351889241419094</v>
          </cell>
        </row>
        <row r="477">
          <cell r="B477">
            <v>165</v>
          </cell>
          <cell r="C477" t="str">
            <v>هانك</v>
          </cell>
          <cell r="D477" t="str">
            <v>اللحوم</v>
          </cell>
          <cell r="E477" t="str">
            <v>رابطة</v>
          </cell>
          <cell r="F477" t="str">
            <v>الجوهرة</v>
          </cell>
          <cell r="G477">
            <v>15</v>
          </cell>
          <cell r="H477">
            <v>15</v>
          </cell>
        </row>
        <row r="478">
          <cell r="B478">
            <v>104</v>
          </cell>
          <cell r="C478" t="str">
            <v>لية</v>
          </cell>
          <cell r="D478" t="str">
            <v>اللحوم المساعدة</v>
          </cell>
          <cell r="E478" t="str">
            <v>كيلو</v>
          </cell>
          <cell r="F478" t="str">
            <v>اوزيل التركي</v>
          </cell>
          <cell r="G478">
            <v>28.974761881738633</v>
          </cell>
          <cell r="H478">
            <v>27.999999999999996</v>
          </cell>
        </row>
        <row r="479">
          <cell r="B479">
            <v>193</v>
          </cell>
          <cell r="C479" t="str">
            <v>بهارات كفتة</v>
          </cell>
          <cell r="D479" t="str">
            <v>بهارات مصنعة</v>
          </cell>
          <cell r="E479" t="str">
            <v>كيلو</v>
          </cell>
          <cell r="F479" t="str">
            <v>الجوهرة</v>
          </cell>
          <cell r="G479">
            <v>21.74</v>
          </cell>
          <cell r="H479">
            <v>21.74</v>
          </cell>
        </row>
        <row r="480">
          <cell r="B480">
            <v>194</v>
          </cell>
          <cell r="C480" t="str">
            <v>بهارات طرب</v>
          </cell>
          <cell r="D480" t="str">
            <v>بهارات مصنعة</v>
          </cell>
          <cell r="E480" t="str">
            <v>كيلو</v>
          </cell>
          <cell r="F480" t="str">
            <v>الجوهرة</v>
          </cell>
          <cell r="G480">
            <v>21.739999999999995</v>
          </cell>
          <cell r="H480">
            <v>21.74</v>
          </cell>
        </row>
        <row r="481">
          <cell r="B481">
            <v>195</v>
          </cell>
          <cell r="C481" t="str">
            <v>بهارات حواوشي</v>
          </cell>
          <cell r="D481" t="str">
            <v>بهارات مصنعة</v>
          </cell>
          <cell r="E481" t="str">
            <v>كيلو</v>
          </cell>
          <cell r="F481" t="str">
            <v>الجوهرة</v>
          </cell>
          <cell r="G481">
            <v>21.739999999999995</v>
          </cell>
          <cell r="H481">
            <v>21.739999999999995</v>
          </cell>
        </row>
        <row r="482">
          <cell r="B482">
            <v>196</v>
          </cell>
          <cell r="C482" t="str">
            <v>بهارات سدق</v>
          </cell>
          <cell r="D482" t="str">
            <v>بهارات مصنعة</v>
          </cell>
          <cell r="E482" t="str">
            <v>كيلو</v>
          </cell>
          <cell r="F482" t="str">
            <v>الجوهرة</v>
          </cell>
          <cell r="G482">
            <v>21.74</v>
          </cell>
          <cell r="H482">
            <v>21.74</v>
          </cell>
        </row>
        <row r="483">
          <cell r="B483">
            <v>197</v>
          </cell>
          <cell r="C483" t="str">
            <v>بهارات كبدة</v>
          </cell>
          <cell r="D483" t="str">
            <v>بهارات مصنعة</v>
          </cell>
          <cell r="E483" t="str">
            <v>كيلو</v>
          </cell>
          <cell r="F483" t="str">
            <v>الجوهرة</v>
          </cell>
          <cell r="G483">
            <v>21.740000000000002</v>
          </cell>
          <cell r="H483">
            <v>21.739999999999995</v>
          </cell>
        </row>
        <row r="484">
          <cell r="B484">
            <v>514</v>
          </cell>
          <cell r="C484" t="str">
            <v>بهارات شاورما</v>
          </cell>
          <cell r="D484" t="str">
            <v>بهارات مصنعة</v>
          </cell>
          <cell r="E484" t="str">
            <v>كيلو</v>
          </cell>
          <cell r="F484" t="str">
            <v>الجوهرة</v>
          </cell>
          <cell r="G484">
            <v>34.78</v>
          </cell>
          <cell r="H484">
            <v>34.78</v>
          </cell>
        </row>
        <row r="485">
          <cell r="B485">
            <v>588</v>
          </cell>
          <cell r="C485" t="str">
            <v>بهارات سلطة طماطم</v>
          </cell>
          <cell r="D485" t="str">
            <v>بهارات مصنعة</v>
          </cell>
          <cell r="E485" t="str">
            <v>كيلو</v>
          </cell>
          <cell r="F485" t="str">
            <v>الجوهرة</v>
          </cell>
          <cell r="G485">
            <v>21.74</v>
          </cell>
          <cell r="H485">
            <v>21.74</v>
          </cell>
        </row>
        <row r="486">
          <cell r="B486">
            <v>589</v>
          </cell>
          <cell r="C486" t="str">
            <v>بهارات طحينة</v>
          </cell>
          <cell r="D486" t="str">
            <v>بهارات مصنعة</v>
          </cell>
          <cell r="E486" t="str">
            <v>كيلو</v>
          </cell>
          <cell r="F486" t="str">
            <v>الجوهرة</v>
          </cell>
          <cell r="G486">
            <v>21.74</v>
          </cell>
          <cell r="H486">
            <v>21.740000000000002</v>
          </cell>
        </row>
        <row r="487">
          <cell r="B487">
            <v>597</v>
          </cell>
          <cell r="C487" t="str">
            <v>بهارات وجبات اسطف</v>
          </cell>
          <cell r="D487" t="str">
            <v>بهارات مصنعة</v>
          </cell>
          <cell r="E487" t="str">
            <v>كيلو</v>
          </cell>
          <cell r="F487">
            <v>0</v>
          </cell>
          <cell r="G487">
            <v>0</v>
          </cell>
          <cell r="H487" t="str">
            <v/>
          </cell>
        </row>
        <row r="488">
          <cell r="B488">
            <v>822</v>
          </cell>
          <cell r="C488" t="str">
            <v>شبت</v>
          </cell>
          <cell r="D488" t="str">
            <v>خضار باك ستريت</v>
          </cell>
          <cell r="E488" t="str">
            <v>كيلو</v>
          </cell>
          <cell r="F488" t="str">
            <v>فروت مكس</v>
          </cell>
          <cell r="G488">
            <v>4.5999999999999996</v>
          </cell>
          <cell r="H488">
            <v>4.5999999999999996</v>
          </cell>
        </row>
        <row r="489">
          <cell r="B489">
            <v>825</v>
          </cell>
          <cell r="C489" t="str">
            <v>كرنب أبيض</v>
          </cell>
          <cell r="D489" t="str">
            <v>خضار باك ستريت</v>
          </cell>
          <cell r="E489" t="str">
            <v>كيلو</v>
          </cell>
          <cell r="F489">
            <v>0</v>
          </cell>
          <cell r="G489">
            <v>0</v>
          </cell>
          <cell r="H489" t="str">
            <v/>
          </cell>
        </row>
        <row r="490">
          <cell r="B490">
            <v>829</v>
          </cell>
          <cell r="C490" t="str">
            <v>زنجبيل فريش</v>
          </cell>
          <cell r="D490" t="str">
            <v>خضار باك ستريت</v>
          </cell>
          <cell r="E490" t="str">
            <v>كيلو</v>
          </cell>
          <cell r="F490">
            <v>0</v>
          </cell>
          <cell r="G490">
            <v>0</v>
          </cell>
          <cell r="H490" t="str">
            <v/>
          </cell>
        </row>
        <row r="491">
          <cell r="B491">
            <v>830</v>
          </cell>
          <cell r="C491" t="str">
            <v>ماشروم فريش</v>
          </cell>
          <cell r="D491" t="str">
            <v>خضار باك ستريت</v>
          </cell>
          <cell r="E491" t="str">
            <v>كيلو</v>
          </cell>
          <cell r="F491">
            <v>0</v>
          </cell>
          <cell r="G491">
            <v>26.45</v>
          </cell>
          <cell r="H491">
            <v>26.45</v>
          </cell>
        </row>
        <row r="492">
          <cell r="B492">
            <v>831</v>
          </cell>
          <cell r="C492" t="str">
            <v>خس أمريكي</v>
          </cell>
          <cell r="D492" t="str">
            <v>خضار باك ستريت</v>
          </cell>
          <cell r="E492" t="str">
            <v>كيلو</v>
          </cell>
          <cell r="F492">
            <v>0</v>
          </cell>
          <cell r="G492">
            <v>0</v>
          </cell>
          <cell r="H492" t="str">
            <v/>
          </cell>
        </row>
        <row r="493">
          <cell r="B493">
            <v>833</v>
          </cell>
          <cell r="C493" t="str">
            <v>فلفل أحمر شطة</v>
          </cell>
          <cell r="D493" t="str">
            <v>خضار باك ستريت</v>
          </cell>
          <cell r="E493" t="str">
            <v>كيلو</v>
          </cell>
          <cell r="F493" t="str">
            <v>فروت مكس</v>
          </cell>
          <cell r="G493">
            <v>8.0500000000000007</v>
          </cell>
          <cell r="H493">
            <v>8.0500000000000007</v>
          </cell>
        </row>
        <row r="494">
          <cell r="B494">
            <v>832</v>
          </cell>
          <cell r="C494" t="str">
            <v>فلفل رومي أصفر</v>
          </cell>
          <cell r="D494" t="str">
            <v>خضار باك ستريت</v>
          </cell>
          <cell r="E494" t="str">
            <v>كيلو</v>
          </cell>
          <cell r="F494">
            <v>0</v>
          </cell>
          <cell r="G494">
            <v>0</v>
          </cell>
          <cell r="H494" t="str">
            <v/>
          </cell>
        </row>
        <row r="495">
          <cell r="B495">
            <v>834</v>
          </cell>
          <cell r="C495" t="str">
            <v>فلفل رومي أحمر</v>
          </cell>
          <cell r="D495" t="str">
            <v>خضار باك ستريت</v>
          </cell>
          <cell r="E495" t="str">
            <v>كيلو</v>
          </cell>
          <cell r="F495">
            <v>0</v>
          </cell>
          <cell r="G495">
            <v>0</v>
          </cell>
          <cell r="H495" t="str">
            <v/>
          </cell>
        </row>
        <row r="496">
          <cell r="B496">
            <v>838</v>
          </cell>
          <cell r="C496" t="str">
            <v>اروقولا</v>
          </cell>
          <cell r="D496" t="str">
            <v>خضار باك ستريت</v>
          </cell>
          <cell r="E496" t="str">
            <v>كيلو</v>
          </cell>
          <cell r="F496">
            <v>0</v>
          </cell>
          <cell r="G496">
            <v>0</v>
          </cell>
          <cell r="H496" t="str">
            <v/>
          </cell>
        </row>
        <row r="497">
          <cell r="B497">
            <v>839</v>
          </cell>
          <cell r="C497" t="str">
            <v>خس كيل</v>
          </cell>
          <cell r="D497" t="str">
            <v>خضار باك ستريت</v>
          </cell>
          <cell r="E497" t="str">
            <v>كيلو</v>
          </cell>
          <cell r="F497">
            <v>0</v>
          </cell>
          <cell r="G497">
            <v>0</v>
          </cell>
          <cell r="H497" t="str">
            <v/>
          </cell>
        </row>
        <row r="498">
          <cell r="B498">
            <v>840</v>
          </cell>
          <cell r="C498" t="str">
            <v>فجل أحمر</v>
          </cell>
          <cell r="D498" t="str">
            <v>خضار باك ستريت</v>
          </cell>
          <cell r="E498" t="str">
            <v>كيلو</v>
          </cell>
          <cell r="F498">
            <v>0</v>
          </cell>
          <cell r="G498">
            <v>0</v>
          </cell>
          <cell r="H498" t="str">
            <v/>
          </cell>
        </row>
        <row r="499">
          <cell r="B499">
            <v>835</v>
          </cell>
          <cell r="C499" t="str">
            <v>بصل أخضر</v>
          </cell>
          <cell r="D499" t="str">
            <v>خضار باك ستريت</v>
          </cell>
          <cell r="E499" t="str">
            <v>كيلو</v>
          </cell>
          <cell r="F499">
            <v>0</v>
          </cell>
          <cell r="G499">
            <v>0</v>
          </cell>
          <cell r="H499" t="str">
            <v/>
          </cell>
        </row>
        <row r="500">
          <cell r="B500">
            <v>841</v>
          </cell>
          <cell r="C500" t="str">
            <v>خس أحمر</v>
          </cell>
          <cell r="D500" t="str">
            <v>خضار باك ستريت</v>
          </cell>
          <cell r="E500" t="str">
            <v>كيلو</v>
          </cell>
          <cell r="F500">
            <v>0</v>
          </cell>
          <cell r="G500">
            <v>0</v>
          </cell>
          <cell r="H500" t="str">
            <v/>
          </cell>
        </row>
        <row r="501">
          <cell r="B501">
            <v>842</v>
          </cell>
          <cell r="C501" t="str">
            <v>زعتر فريش</v>
          </cell>
          <cell r="D501" t="str">
            <v>خضار باك ستريت</v>
          </cell>
          <cell r="E501" t="str">
            <v>كيلو</v>
          </cell>
          <cell r="F501">
            <v>0</v>
          </cell>
          <cell r="G501">
            <v>0</v>
          </cell>
          <cell r="H501" t="str">
            <v/>
          </cell>
        </row>
        <row r="502">
          <cell r="B502">
            <v>824</v>
          </cell>
          <cell r="C502" t="str">
            <v>فاصوليا استرالي</v>
          </cell>
          <cell r="D502" t="str">
            <v>خضار باك ستريت</v>
          </cell>
          <cell r="E502" t="str">
            <v>كيلو</v>
          </cell>
          <cell r="F502">
            <v>0</v>
          </cell>
          <cell r="G502">
            <v>0</v>
          </cell>
          <cell r="H502" t="str">
            <v/>
          </cell>
        </row>
        <row r="503">
          <cell r="B503">
            <v>843</v>
          </cell>
          <cell r="C503" t="str">
            <v>ورق مشكل</v>
          </cell>
          <cell r="D503" t="str">
            <v>خضار باك ستريت</v>
          </cell>
          <cell r="E503" t="str">
            <v>كيلو</v>
          </cell>
          <cell r="F503">
            <v>0</v>
          </cell>
          <cell r="G503">
            <v>0</v>
          </cell>
          <cell r="H503" t="str">
            <v/>
          </cell>
        </row>
        <row r="504">
          <cell r="B504">
            <v>823</v>
          </cell>
          <cell r="C504" t="str">
            <v>كرافس</v>
          </cell>
          <cell r="D504" t="str">
            <v>خضار باك ستريت</v>
          </cell>
          <cell r="E504" t="str">
            <v>كيلو</v>
          </cell>
          <cell r="F504">
            <v>0</v>
          </cell>
          <cell r="G504">
            <v>0</v>
          </cell>
          <cell r="H504" t="str">
            <v/>
          </cell>
        </row>
        <row r="505">
          <cell r="B505">
            <v>826</v>
          </cell>
          <cell r="C505" t="str">
            <v>كرنب احمر</v>
          </cell>
          <cell r="D505" t="str">
            <v>خضار باك ستريت</v>
          </cell>
          <cell r="E505" t="str">
            <v>كيلو</v>
          </cell>
          <cell r="F505">
            <v>0</v>
          </cell>
          <cell r="G505">
            <v>0</v>
          </cell>
          <cell r="H505" t="str">
            <v/>
          </cell>
        </row>
        <row r="506">
          <cell r="B506">
            <v>844</v>
          </cell>
          <cell r="C506" t="str">
            <v>روزماري</v>
          </cell>
          <cell r="D506" t="str">
            <v>خضار باك ستريت</v>
          </cell>
          <cell r="E506" t="str">
            <v>كيلو</v>
          </cell>
          <cell r="F506">
            <v>0</v>
          </cell>
          <cell r="G506">
            <v>0</v>
          </cell>
          <cell r="H506" t="str">
            <v/>
          </cell>
        </row>
        <row r="507">
          <cell r="B507">
            <v>849</v>
          </cell>
          <cell r="C507" t="str">
            <v>بطاطس حلوه</v>
          </cell>
          <cell r="D507" t="str">
            <v>خضار باك ستريت</v>
          </cell>
          <cell r="E507" t="str">
            <v>كيلو</v>
          </cell>
          <cell r="F507">
            <v>0</v>
          </cell>
          <cell r="G507">
            <v>0</v>
          </cell>
          <cell r="H507" t="str">
            <v/>
          </cell>
        </row>
        <row r="508">
          <cell r="B508">
            <v>653</v>
          </cell>
          <cell r="C508" t="str">
            <v>افوكاتو - باك ستريت</v>
          </cell>
          <cell r="D508" t="str">
            <v>خضار باك ستريت</v>
          </cell>
          <cell r="E508" t="str">
            <v>كيلو</v>
          </cell>
          <cell r="F508">
            <v>0</v>
          </cell>
          <cell r="G508">
            <v>18</v>
          </cell>
          <cell r="H508" t="str">
            <v/>
          </cell>
        </row>
        <row r="509">
          <cell r="B509">
            <v>850</v>
          </cell>
          <cell r="C509" t="str">
            <v>ريحان</v>
          </cell>
          <cell r="D509" t="str">
            <v>خضار باك ستريت</v>
          </cell>
          <cell r="E509" t="str">
            <v>كيلو</v>
          </cell>
          <cell r="F509">
            <v>0</v>
          </cell>
          <cell r="G509">
            <v>0</v>
          </cell>
          <cell r="H509" t="str">
            <v/>
          </cell>
        </row>
        <row r="510">
          <cell r="B510">
            <v>564</v>
          </cell>
          <cell r="C510" t="str">
            <v>برتقال</v>
          </cell>
          <cell r="D510" t="str">
            <v>خضار وفواكه المشربية</v>
          </cell>
          <cell r="E510" t="str">
            <v>كيلو</v>
          </cell>
          <cell r="F510">
            <v>0</v>
          </cell>
          <cell r="G510">
            <v>4.5999999999999996</v>
          </cell>
          <cell r="H510">
            <v>4.5999999999999996</v>
          </cell>
        </row>
        <row r="511">
          <cell r="B511">
            <v>577</v>
          </cell>
          <cell r="C511" t="str">
            <v>باذنجان أسود</v>
          </cell>
          <cell r="D511" t="str">
            <v>خضار وفواكه المشربية</v>
          </cell>
          <cell r="E511" t="str">
            <v>كيلو</v>
          </cell>
          <cell r="F511">
            <v>0</v>
          </cell>
          <cell r="G511">
            <v>5.75</v>
          </cell>
          <cell r="H511" t="str">
            <v/>
          </cell>
        </row>
        <row r="512">
          <cell r="B512">
            <v>836</v>
          </cell>
          <cell r="C512" t="str">
            <v>كراث</v>
          </cell>
          <cell r="D512" t="str">
            <v>خضار وفواكه المشربية</v>
          </cell>
          <cell r="E512" t="str">
            <v>كيلو</v>
          </cell>
          <cell r="F512">
            <v>0</v>
          </cell>
          <cell r="G512">
            <v>0</v>
          </cell>
          <cell r="H512" t="str">
            <v/>
          </cell>
        </row>
        <row r="513">
          <cell r="B513">
            <v>837</v>
          </cell>
          <cell r="C513" t="str">
            <v>أناناس</v>
          </cell>
          <cell r="D513" t="str">
            <v>خضار وفواكه المشربية</v>
          </cell>
          <cell r="E513" t="str">
            <v>كيلو</v>
          </cell>
          <cell r="F513">
            <v>0</v>
          </cell>
          <cell r="G513">
            <v>9.1999999999999993</v>
          </cell>
          <cell r="H513" t="str">
            <v/>
          </cell>
        </row>
        <row r="514">
          <cell r="B514">
            <v>567</v>
          </cell>
          <cell r="C514" t="str">
            <v>أفوكادو</v>
          </cell>
          <cell r="D514" t="str">
            <v>خضار وفواكه المشربية</v>
          </cell>
          <cell r="E514" t="str">
            <v>كيلو</v>
          </cell>
          <cell r="F514">
            <v>0</v>
          </cell>
          <cell r="G514">
            <v>34.5</v>
          </cell>
          <cell r="H514">
            <v>34.5</v>
          </cell>
        </row>
        <row r="515">
          <cell r="B515">
            <v>560</v>
          </cell>
          <cell r="C515" t="str">
            <v>تفاح أحمر</v>
          </cell>
          <cell r="D515" t="str">
            <v>خضار وفواكه المشربية</v>
          </cell>
          <cell r="E515" t="str">
            <v>كيلو</v>
          </cell>
          <cell r="F515">
            <v>0</v>
          </cell>
          <cell r="G515">
            <v>7.4749999999999996</v>
          </cell>
          <cell r="H515">
            <v>7.4750000000000005</v>
          </cell>
        </row>
        <row r="516">
          <cell r="B516">
            <v>565</v>
          </cell>
          <cell r="C516" t="str">
            <v>تفاح أخضر</v>
          </cell>
          <cell r="D516" t="str">
            <v>خضار وفواكه المشربية</v>
          </cell>
          <cell r="E516" t="str">
            <v>كيلو</v>
          </cell>
          <cell r="F516">
            <v>0</v>
          </cell>
          <cell r="G516">
            <v>7.4749999999999996</v>
          </cell>
          <cell r="H516" t="str">
            <v/>
          </cell>
        </row>
        <row r="517">
          <cell r="B517">
            <v>561</v>
          </cell>
          <cell r="C517" t="str">
            <v>موز أمريكي</v>
          </cell>
          <cell r="D517" t="str">
            <v>خضار وفواكه المشربية</v>
          </cell>
          <cell r="E517" t="str">
            <v>كيلو</v>
          </cell>
          <cell r="F517">
            <v>0</v>
          </cell>
          <cell r="G517">
            <v>5.7499999999999991</v>
          </cell>
          <cell r="H517">
            <v>5.75</v>
          </cell>
        </row>
        <row r="518">
          <cell r="B518">
            <v>562</v>
          </cell>
          <cell r="C518" t="str">
            <v>فراولة أمريكي</v>
          </cell>
          <cell r="D518" t="str">
            <v>خضار وفواكه المشربية</v>
          </cell>
          <cell r="E518" t="str">
            <v>كيلو</v>
          </cell>
          <cell r="F518">
            <v>0</v>
          </cell>
          <cell r="G518">
            <v>17.25</v>
          </cell>
          <cell r="H518">
            <v>17.25</v>
          </cell>
        </row>
        <row r="519">
          <cell r="B519">
            <v>821</v>
          </cell>
          <cell r="C519" t="str">
            <v>خيار</v>
          </cell>
          <cell r="D519" t="str">
            <v>خضار وفواكه المشربية</v>
          </cell>
          <cell r="E519" t="str">
            <v>كيلو</v>
          </cell>
          <cell r="F519">
            <v>0</v>
          </cell>
          <cell r="G519">
            <v>4.0907925170068031</v>
          </cell>
          <cell r="H519">
            <v>4.0250000000000012</v>
          </cell>
        </row>
        <row r="520">
          <cell r="B520">
            <v>558</v>
          </cell>
          <cell r="C520" t="str">
            <v>رمان</v>
          </cell>
          <cell r="D520" t="str">
            <v>خضار وفواكه المشربية</v>
          </cell>
          <cell r="E520" t="str">
            <v>كيلو</v>
          </cell>
          <cell r="F520">
            <v>0</v>
          </cell>
          <cell r="G520">
            <v>10.35</v>
          </cell>
          <cell r="H520" t="str">
            <v/>
          </cell>
        </row>
        <row r="521">
          <cell r="B521">
            <v>773</v>
          </cell>
          <cell r="C521" t="str">
            <v>كليشات مطبوعات</v>
          </cell>
          <cell r="D521">
            <v>0</v>
          </cell>
          <cell r="E521" t="str">
            <v>عدد</v>
          </cell>
          <cell r="F521">
            <v>0</v>
          </cell>
          <cell r="G521">
            <v>0</v>
          </cell>
          <cell r="H521" t="str">
            <v/>
          </cell>
        </row>
        <row r="522">
          <cell r="B522">
            <v>802</v>
          </cell>
          <cell r="C522" t="str">
            <v>خل عنب</v>
          </cell>
          <cell r="D522" t="str">
            <v>مواد غذائية (باك ستريت)</v>
          </cell>
          <cell r="E522" t="str">
            <v>لتر</v>
          </cell>
          <cell r="F522" t="str">
            <v>تموين الشرق - فريشلي</v>
          </cell>
          <cell r="G522">
            <v>0</v>
          </cell>
          <cell r="H522" t="str">
            <v/>
          </cell>
        </row>
        <row r="523">
          <cell r="B523">
            <v>400</v>
          </cell>
          <cell r="C523" t="str">
            <v>معسل مستكة ٢٥٠ جرام - المشربية</v>
          </cell>
          <cell r="D523" t="str">
            <v>الشيشة</v>
          </cell>
          <cell r="E523" t="str">
            <v>بكت</v>
          </cell>
          <cell r="F523" t="str">
            <v>معسلات المشربية</v>
          </cell>
          <cell r="G523">
            <v>67.500399999999999</v>
          </cell>
          <cell r="H523">
            <v>64.566941666666665</v>
          </cell>
        </row>
        <row r="524">
          <cell r="B524">
            <v>779</v>
          </cell>
          <cell r="C524" t="str">
            <v>ماكينة اوتوكت</v>
          </cell>
          <cell r="D524" t="str">
            <v>أدوات تشغيل</v>
          </cell>
          <cell r="E524" t="str">
            <v>حبة</v>
          </cell>
          <cell r="F524">
            <v>0</v>
          </cell>
          <cell r="G524">
            <v>0</v>
          </cell>
          <cell r="H524" t="str">
            <v/>
          </cell>
        </row>
        <row r="525">
          <cell r="B525">
            <v>743</v>
          </cell>
          <cell r="C525" t="str">
            <v>علب صوص 2 اونز</v>
          </cell>
          <cell r="D525" t="str">
            <v>تعبئة و تغليف (باك ستريت)</v>
          </cell>
          <cell r="E525" t="str">
            <v>حبة</v>
          </cell>
          <cell r="F525" t="str">
            <v>الظاهرى</v>
          </cell>
          <cell r="G525">
            <v>0</v>
          </cell>
          <cell r="H525" t="str">
            <v/>
          </cell>
        </row>
        <row r="526">
          <cell r="B526">
            <v>854</v>
          </cell>
          <cell r="C526" t="str">
            <v>شمندر</v>
          </cell>
          <cell r="D526" t="str">
            <v>خضار وفواكه المشربية</v>
          </cell>
          <cell r="E526" t="str">
            <v>كيلو</v>
          </cell>
          <cell r="F526">
            <v>0</v>
          </cell>
          <cell r="G526">
            <v>0</v>
          </cell>
          <cell r="H526" t="str">
            <v/>
          </cell>
        </row>
        <row r="527">
          <cell r="B527">
            <v>426</v>
          </cell>
          <cell r="C527" t="str">
            <v xml:space="preserve">كريمة لوتس </v>
          </cell>
          <cell r="D527" t="str">
            <v>المشربية</v>
          </cell>
          <cell r="E527" t="str">
            <v>كيلو</v>
          </cell>
          <cell r="F527" t="str">
            <v>مشتريات مباشرة</v>
          </cell>
          <cell r="G527">
            <v>0</v>
          </cell>
          <cell r="H527" t="str">
            <v/>
          </cell>
        </row>
        <row r="528">
          <cell r="B528">
            <v>855</v>
          </cell>
          <cell r="C528" t="str">
            <v xml:space="preserve">مفرش سفرة غير مطبوع </v>
          </cell>
          <cell r="D528" t="str">
            <v>المشربية</v>
          </cell>
          <cell r="E528" t="str">
            <v>حبة</v>
          </cell>
          <cell r="F528" t="str">
            <v>مشتريات مباشرة</v>
          </cell>
          <cell r="G528">
            <v>0</v>
          </cell>
          <cell r="H528" t="str">
            <v/>
          </cell>
        </row>
        <row r="529">
          <cell r="B529">
            <v>545</v>
          </cell>
          <cell r="C529" t="str">
            <v>فلفل حار هندي</v>
          </cell>
          <cell r="D529" t="str">
            <v>خضار وفواكه المشربية</v>
          </cell>
          <cell r="E529" t="str">
            <v>كيلو</v>
          </cell>
          <cell r="F529">
            <v>0</v>
          </cell>
          <cell r="G529">
            <v>0</v>
          </cell>
          <cell r="H529" t="str">
            <v/>
          </cell>
        </row>
        <row r="530">
          <cell r="B530">
            <v>767</v>
          </cell>
          <cell r="C530" t="str">
            <v>غطاء علب حلا م16</v>
          </cell>
          <cell r="D530" t="str">
            <v>تعبئة و تغليف (باك ستريت)</v>
          </cell>
          <cell r="E530" t="str">
            <v>حبة</v>
          </cell>
          <cell r="F530" t="str">
            <v>هوت باك</v>
          </cell>
          <cell r="G530">
            <v>0</v>
          </cell>
          <cell r="H530" t="str">
            <v/>
          </cell>
        </row>
        <row r="531">
          <cell r="B531">
            <v>856</v>
          </cell>
          <cell r="C531" t="str">
            <v>شحن</v>
          </cell>
          <cell r="D531" t="str">
            <v>مصاريف نقل</v>
          </cell>
          <cell r="E531" t="str">
            <v>حبة</v>
          </cell>
          <cell r="F531">
            <v>0</v>
          </cell>
          <cell r="G531">
            <v>0</v>
          </cell>
          <cell r="H531" t="str">
            <v/>
          </cell>
        </row>
        <row r="532">
          <cell r="B532">
            <v>383</v>
          </cell>
          <cell r="C532" t="str">
            <v>فشار البطل كراميل مملح - المشربية</v>
          </cell>
          <cell r="D532" t="str">
            <v>مواد غذائية (المشربية)</v>
          </cell>
          <cell r="E532" t="str">
            <v>كيس</v>
          </cell>
          <cell r="F532" t="str">
            <v>مشتريات مباشرة</v>
          </cell>
          <cell r="G532">
            <v>0</v>
          </cell>
          <cell r="H532" t="str">
            <v/>
          </cell>
        </row>
        <row r="533">
          <cell r="B533">
            <v>857</v>
          </cell>
          <cell r="C533" t="str">
            <v>لحمة بولر بليد بقر</v>
          </cell>
          <cell r="D533" t="str">
            <v>لحوم باك ستريت</v>
          </cell>
          <cell r="E533" t="str">
            <v>كيلو</v>
          </cell>
          <cell r="F533">
            <v>0</v>
          </cell>
          <cell r="G533">
            <v>0</v>
          </cell>
          <cell r="H533" t="str">
            <v/>
          </cell>
        </row>
        <row r="534">
          <cell r="B534">
            <v>524</v>
          </cell>
          <cell r="C534" t="str">
            <v>وجبة غذائية</v>
          </cell>
          <cell r="D534" t="str">
            <v>وجبات اسطف</v>
          </cell>
          <cell r="E534" t="str">
            <v>عدد</v>
          </cell>
          <cell r="F534">
            <v>0</v>
          </cell>
          <cell r="G534">
            <v>0</v>
          </cell>
          <cell r="H534" t="str">
            <v/>
          </cell>
        </row>
        <row r="535">
          <cell r="B535">
            <v>859</v>
          </cell>
          <cell r="C535" t="str">
            <v xml:space="preserve">ظرف ورق بني </v>
          </cell>
          <cell r="D535" t="str">
            <v>تعبئة و تغليف (باك ستريت)</v>
          </cell>
          <cell r="E535" t="str">
            <v>بكت</v>
          </cell>
          <cell r="F535" t="str">
            <v>مشتريات مباشرة</v>
          </cell>
          <cell r="G535">
            <v>0</v>
          </cell>
          <cell r="H535" t="str">
            <v/>
          </cell>
        </row>
        <row r="536">
          <cell r="B536">
            <v>358</v>
          </cell>
          <cell r="C536" t="str">
            <v>حجر شيشة - المشربية</v>
          </cell>
          <cell r="D536" t="str">
            <v>المشربية</v>
          </cell>
          <cell r="E536" t="str">
            <v>حبة</v>
          </cell>
          <cell r="F536">
            <v>0</v>
          </cell>
          <cell r="G536">
            <v>0</v>
          </cell>
          <cell r="H536" t="str">
            <v/>
          </cell>
        </row>
        <row r="537">
          <cell r="B537">
            <v>694</v>
          </cell>
          <cell r="C537" t="str">
            <v xml:space="preserve">لحمه ريب أي </v>
          </cell>
          <cell r="D537" t="str">
            <v>لحوم باك ستريت</v>
          </cell>
          <cell r="E537" t="str">
            <v>كيلو</v>
          </cell>
          <cell r="F537" t="str">
            <v>اللحمة الذهبية</v>
          </cell>
          <cell r="G537">
            <v>149.5</v>
          </cell>
          <cell r="H537" t="str">
            <v/>
          </cell>
        </row>
        <row r="538">
          <cell r="B538">
            <v>827</v>
          </cell>
          <cell r="C538" t="str">
            <v>سيراتشا</v>
          </cell>
          <cell r="D538" t="str">
            <v>تعبئة و تغليف (باك ستريت)</v>
          </cell>
          <cell r="E538" t="str">
            <v>كيلو</v>
          </cell>
          <cell r="F538" t="str">
            <v>تموين الشرق - فريشلي</v>
          </cell>
          <cell r="G538">
            <v>0</v>
          </cell>
          <cell r="H538" t="str">
            <v/>
          </cell>
        </row>
        <row r="539">
          <cell r="B539">
            <v>860</v>
          </cell>
          <cell r="C539" t="str">
            <v>بوكسات وجبات الاطفال</v>
          </cell>
          <cell r="D539" t="str">
            <v>تعبئة وتغليف (طحينة)</v>
          </cell>
          <cell r="E539" t="str">
            <v>حبة</v>
          </cell>
          <cell r="F539">
            <v>0</v>
          </cell>
          <cell r="G539">
            <v>0</v>
          </cell>
          <cell r="H539" t="str">
            <v/>
          </cell>
        </row>
        <row r="540">
          <cell r="B540">
            <v>861</v>
          </cell>
          <cell r="C540" t="str">
            <v>بوكس سحاب كلبز</v>
          </cell>
          <cell r="D540" t="str">
            <v>تعبئة وتغليف (طحينة)</v>
          </cell>
          <cell r="E540" t="str">
            <v>حبة</v>
          </cell>
          <cell r="F540">
            <v>0</v>
          </cell>
          <cell r="G540">
            <v>0</v>
          </cell>
          <cell r="H540" t="str">
            <v/>
          </cell>
        </row>
        <row r="541">
          <cell r="B541">
            <v>862</v>
          </cell>
          <cell r="C541" t="str">
            <v>مناديل سفرة مطبوع ليالي حليم</v>
          </cell>
          <cell r="D541" t="str">
            <v>مطبوعات (ليالي حليم)</v>
          </cell>
          <cell r="E541" t="str">
            <v>حبة</v>
          </cell>
          <cell r="F541">
            <v>0</v>
          </cell>
          <cell r="G541">
            <v>0</v>
          </cell>
          <cell r="H541" t="str">
            <v/>
          </cell>
        </row>
        <row r="542">
          <cell r="B542">
            <v>863</v>
          </cell>
          <cell r="C542" t="str">
            <v>مناديل معطرة مطبوعة ليالي حليم</v>
          </cell>
          <cell r="D542" t="str">
            <v>مطبوعات (ليالي حليم)</v>
          </cell>
          <cell r="E542" t="str">
            <v>حبة</v>
          </cell>
          <cell r="F542">
            <v>0</v>
          </cell>
          <cell r="G542">
            <v>0</v>
          </cell>
          <cell r="H542" t="str">
            <v/>
          </cell>
        </row>
        <row r="543">
          <cell r="B543">
            <v>864</v>
          </cell>
          <cell r="C543" t="str">
            <v>كليشة مناديل معطرة ليالي حليم</v>
          </cell>
          <cell r="D543" t="str">
            <v>مطبوعات (ليالي حليم)</v>
          </cell>
          <cell r="E543" t="str">
            <v>حبة</v>
          </cell>
          <cell r="F543">
            <v>0</v>
          </cell>
          <cell r="G543">
            <v>0</v>
          </cell>
          <cell r="H543" t="str">
            <v/>
          </cell>
        </row>
        <row r="544">
          <cell r="B544">
            <v>731</v>
          </cell>
          <cell r="C544" t="str">
            <v>أكياس نفايات 20 - باك ستريت</v>
          </cell>
          <cell r="D544" t="str">
            <v>تعبئة و تغليف (باك ستريت)</v>
          </cell>
          <cell r="E544" t="str">
            <v>كيلو</v>
          </cell>
          <cell r="F544" t="str">
            <v>الظاهرى</v>
          </cell>
          <cell r="G544">
            <v>0</v>
          </cell>
          <cell r="H544" t="str">
            <v/>
          </cell>
        </row>
        <row r="545">
          <cell r="B545">
            <v>884</v>
          </cell>
          <cell r="C545" t="str">
            <v>سكر مكعبات ابيض</v>
          </cell>
          <cell r="D545" t="str">
            <v>مواد غذائية (ليالي حليم)</v>
          </cell>
          <cell r="E545" t="str">
            <v>بكت</v>
          </cell>
          <cell r="F545" t="str">
            <v>مشتريات مباشرة</v>
          </cell>
          <cell r="G545">
            <v>11.249974137931035</v>
          </cell>
          <cell r="H545" t="str">
            <v/>
          </cell>
        </row>
        <row r="546">
          <cell r="B546">
            <v>886</v>
          </cell>
          <cell r="C546" t="str">
            <v>شاي Ahmed Tea</v>
          </cell>
          <cell r="D546" t="str">
            <v>مواد غذائية (ليالي حليم)</v>
          </cell>
          <cell r="E546" t="str">
            <v>حبة</v>
          </cell>
          <cell r="F546" t="str">
            <v>مشتريات مباشرة</v>
          </cell>
          <cell r="G546">
            <v>0.15999949999999999</v>
          </cell>
          <cell r="H546" t="str">
            <v/>
          </cell>
        </row>
        <row r="547">
          <cell r="B547">
            <v>869</v>
          </cell>
          <cell r="C547" t="str">
            <v>مياة نوفا</v>
          </cell>
          <cell r="D547" t="str">
            <v>مواد غذائية (ليالي حليم)</v>
          </cell>
          <cell r="E547" t="str">
            <v>لتر</v>
          </cell>
          <cell r="F547" t="str">
            <v>مشتريات مباشرة</v>
          </cell>
          <cell r="G547">
            <v>0.63789546807896835</v>
          </cell>
          <cell r="H547">
            <v>0.59320641666666662</v>
          </cell>
        </row>
        <row r="548">
          <cell r="B548">
            <v>874</v>
          </cell>
          <cell r="C548" t="str">
            <v>سفن اب علب</v>
          </cell>
          <cell r="D548" t="str">
            <v>المشروبات (ليالي حليم)</v>
          </cell>
          <cell r="E548" t="str">
            <v>حبة</v>
          </cell>
          <cell r="F548" t="str">
            <v>مشتريات مباشرة</v>
          </cell>
          <cell r="G548">
            <v>2.7740896028571429</v>
          </cell>
          <cell r="H548" t="str">
            <v/>
          </cell>
        </row>
        <row r="549">
          <cell r="B549">
            <v>866</v>
          </cell>
          <cell r="C549" t="str">
            <v>مواد غذائية ليالي حليم</v>
          </cell>
          <cell r="D549" t="str">
            <v>مواد غذائية (ليالي حليم)</v>
          </cell>
          <cell r="E549" t="str">
            <v>حبة</v>
          </cell>
          <cell r="F549" t="str">
            <v>مشتريات مباشرة</v>
          </cell>
          <cell r="G549">
            <v>9.9590000000000014</v>
          </cell>
          <cell r="H549" t="str">
            <v/>
          </cell>
        </row>
        <row r="550">
          <cell r="B550">
            <v>872</v>
          </cell>
          <cell r="C550" t="str">
            <v>حبق مجفف</v>
          </cell>
          <cell r="D550" t="str">
            <v>مواد غذائية (ليالي حليم)</v>
          </cell>
          <cell r="E550" t="str">
            <v>كيلو</v>
          </cell>
          <cell r="F550" t="str">
            <v>مشتريات مباشرة</v>
          </cell>
          <cell r="G550">
            <v>311.53772019230769</v>
          </cell>
          <cell r="H550" t="str">
            <v/>
          </cell>
        </row>
        <row r="551">
          <cell r="B551">
            <v>870</v>
          </cell>
          <cell r="C551" t="str">
            <v>حليب طازج نادك</v>
          </cell>
          <cell r="D551" t="str">
            <v>مواد غذائية (ليالي حليم)</v>
          </cell>
          <cell r="E551" t="str">
            <v>لتر</v>
          </cell>
          <cell r="F551" t="str">
            <v>مشتريات مباشرة</v>
          </cell>
          <cell r="G551">
            <v>5.0422488175675682</v>
          </cell>
          <cell r="H551">
            <v>5.5826540909090907</v>
          </cell>
        </row>
        <row r="552">
          <cell r="B552">
            <v>534</v>
          </cell>
          <cell r="C552" t="str">
            <v>جبنة بوك كريمي</v>
          </cell>
          <cell r="D552" t="str">
            <v>مواد غذائية (ليالي حليم)</v>
          </cell>
          <cell r="E552" t="str">
            <v>كيلو</v>
          </cell>
          <cell r="F552" t="str">
            <v>مشتريات مباشرة</v>
          </cell>
          <cell r="G552">
            <v>19.8996</v>
          </cell>
          <cell r="H552" t="str">
            <v/>
          </cell>
        </row>
        <row r="553">
          <cell r="B553">
            <v>889</v>
          </cell>
          <cell r="C553" t="str">
            <v>معسل كوكتيل250 جرام</v>
          </cell>
          <cell r="D553" t="str">
            <v>الشيشة</v>
          </cell>
          <cell r="E553" t="str">
            <v>بكت</v>
          </cell>
          <cell r="F553" t="str">
            <v>مشتريات مباشرة</v>
          </cell>
          <cell r="G553">
            <v>70</v>
          </cell>
          <cell r="H553">
            <v>64.375131249999995</v>
          </cell>
        </row>
        <row r="554">
          <cell r="B554">
            <v>891</v>
          </cell>
          <cell r="C554" t="str">
            <v>مكسرات موالح</v>
          </cell>
          <cell r="D554" t="str">
            <v>مواد غذائية (ليالي حليم)</v>
          </cell>
          <cell r="E554" t="str">
            <v>كيلو</v>
          </cell>
          <cell r="F554" t="str">
            <v>مشتريات مباشرة</v>
          </cell>
          <cell r="G554">
            <v>45.052778506588574</v>
          </cell>
          <cell r="H554">
            <v>45.031154213135075</v>
          </cell>
        </row>
        <row r="555">
          <cell r="B555">
            <v>896</v>
          </cell>
          <cell r="C555" t="str">
            <v>شيدر احمر</v>
          </cell>
          <cell r="D555" t="str">
            <v>مواد غذائية (ليالي حليم)</v>
          </cell>
          <cell r="E555" t="str">
            <v>كيلو</v>
          </cell>
          <cell r="F555" t="str">
            <v>مشتريات مباشرة</v>
          </cell>
          <cell r="G555">
            <v>52.282202172303137</v>
          </cell>
          <cell r="H555">
            <v>54.946320550458722</v>
          </cell>
        </row>
        <row r="556">
          <cell r="B556">
            <v>892</v>
          </cell>
          <cell r="C556" t="str">
            <v>مكسرات يابانية</v>
          </cell>
          <cell r="D556" t="str">
            <v>مواد غذائية (ليالي حليم)</v>
          </cell>
          <cell r="E556" t="str">
            <v>كيلو</v>
          </cell>
          <cell r="F556" t="str">
            <v>مشتريات مباشرة</v>
          </cell>
          <cell r="G556">
            <v>20.684638758437124</v>
          </cell>
          <cell r="H556">
            <v>22.027965504080754</v>
          </cell>
        </row>
        <row r="557">
          <cell r="B557">
            <v>893</v>
          </cell>
          <cell r="C557" t="str">
            <v>اكواب ورقية 8 اونز</v>
          </cell>
          <cell r="D557" t="str">
            <v>تعبئة و تغليف (ليالي حليم)</v>
          </cell>
          <cell r="E557" t="str">
            <v>حبة</v>
          </cell>
          <cell r="F557" t="str">
            <v>واد العطاء</v>
          </cell>
          <cell r="G557">
            <v>0.15639999999999998</v>
          </cell>
          <cell r="H557" t="str">
            <v/>
          </cell>
        </row>
        <row r="558">
          <cell r="B558">
            <v>894</v>
          </cell>
          <cell r="C558" t="str">
            <v>اكواب ورقية 4 اونز</v>
          </cell>
          <cell r="D558" t="str">
            <v>تعبئة و تغليف (ليالي حليم)</v>
          </cell>
          <cell r="E558" t="str">
            <v>حبة</v>
          </cell>
          <cell r="F558" t="str">
            <v>واد العطاء</v>
          </cell>
          <cell r="G558">
            <v>0.1265</v>
          </cell>
          <cell r="H558" t="str">
            <v/>
          </cell>
        </row>
        <row r="559">
          <cell r="B559">
            <v>895</v>
          </cell>
          <cell r="C559" t="str">
            <v>غطاء اكواب 8 اونز</v>
          </cell>
          <cell r="D559" t="str">
            <v>تعبئة و تغليف (ليالي حليم)</v>
          </cell>
          <cell r="E559" t="str">
            <v>حبة</v>
          </cell>
          <cell r="F559" t="str">
            <v>واد العطاء</v>
          </cell>
          <cell r="G559">
            <v>5.5200000000000006E-2</v>
          </cell>
          <cell r="H559" t="str">
            <v/>
          </cell>
        </row>
        <row r="560">
          <cell r="B560">
            <v>890</v>
          </cell>
          <cell r="C560" t="str">
            <v>جبنة كيري مطبوخة</v>
          </cell>
          <cell r="D560" t="str">
            <v>مواد غذائية (ليالي حليم)</v>
          </cell>
          <cell r="E560" t="str">
            <v>كيلو</v>
          </cell>
          <cell r="F560" t="str">
            <v>مشتريات مباشرة</v>
          </cell>
          <cell r="G560">
            <v>19.899657138571428</v>
          </cell>
          <cell r="H560">
            <v>24.740901724137931</v>
          </cell>
        </row>
        <row r="561">
          <cell r="B561">
            <v>898</v>
          </cell>
          <cell r="C561" t="str">
            <v>بن امريكي اسبرسو</v>
          </cell>
          <cell r="D561" t="str">
            <v>مواد غذائية (ليالي حليم)</v>
          </cell>
          <cell r="E561" t="str">
            <v>كيلو</v>
          </cell>
          <cell r="F561" t="str">
            <v>مشتريات مباشرة</v>
          </cell>
          <cell r="G561">
            <v>83.375</v>
          </cell>
          <cell r="H561" t="str">
            <v/>
          </cell>
        </row>
        <row r="562">
          <cell r="B562">
            <v>396</v>
          </cell>
          <cell r="C562" t="str">
            <v>لي شيشة زجاج ملون</v>
          </cell>
          <cell r="D562" t="str">
            <v>الشيشة</v>
          </cell>
          <cell r="E562" t="str">
            <v>حبة</v>
          </cell>
          <cell r="F562" t="str">
            <v>مشتريات مباشرة</v>
          </cell>
          <cell r="G562">
            <v>1.3999992474999998</v>
          </cell>
          <cell r="H562" t="str">
            <v/>
          </cell>
        </row>
        <row r="563">
          <cell r="B563">
            <v>887</v>
          </cell>
          <cell r="C563" t="str">
            <v>كرانشي شيكولاته كيك</v>
          </cell>
          <cell r="D563" t="str">
            <v>مواد غذائية (ليالي حليم)</v>
          </cell>
          <cell r="E563" t="str">
            <v>حبة</v>
          </cell>
          <cell r="F563" t="str">
            <v>انس غالب - جاناش</v>
          </cell>
          <cell r="G563">
            <v>18.974999999999998</v>
          </cell>
          <cell r="H563">
            <v>18.974999999999998</v>
          </cell>
        </row>
        <row r="564">
          <cell r="B564">
            <v>899</v>
          </cell>
          <cell r="C564" t="str">
            <v>معسل مستكة نعناع 250 جرام</v>
          </cell>
          <cell r="D564" t="str">
            <v>الشيشة</v>
          </cell>
          <cell r="E564" t="str">
            <v>بكت</v>
          </cell>
          <cell r="F564" t="str">
            <v>بيت النخلتين للمعسلات</v>
          </cell>
          <cell r="G564">
            <v>63.750249999999994</v>
          </cell>
          <cell r="H564">
            <v>66.875374999999991</v>
          </cell>
        </row>
        <row r="565">
          <cell r="B565">
            <v>897</v>
          </cell>
          <cell r="C565" t="str">
            <v>حبق فريش</v>
          </cell>
          <cell r="D565" t="str">
            <v>مواد غذائية (ليالي حليم)</v>
          </cell>
          <cell r="E565" t="str">
            <v>كيلو</v>
          </cell>
          <cell r="F565" t="str">
            <v>مشتريات مباشرة</v>
          </cell>
          <cell r="G565">
            <v>4.4695</v>
          </cell>
          <cell r="H565">
            <v>4.5999999999999996</v>
          </cell>
        </row>
        <row r="566">
          <cell r="B566">
            <v>900</v>
          </cell>
          <cell r="C566" t="str">
            <v>تونة</v>
          </cell>
          <cell r="D566" t="str">
            <v>مواد غذائية (ليالي حليم)</v>
          </cell>
          <cell r="E566" t="str">
            <v>كيلو</v>
          </cell>
          <cell r="F566" t="str">
            <v>مشتريات مباشرة</v>
          </cell>
          <cell r="G566">
            <v>57.169748406374509</v>
          </cell>
          <cell r="H566">
            <v>47.222450000000009</v>
          </cell>
        </row>
        <row r="567">
          <cell r="B567">
            <v>901</v>
          </cell>
          <cell r="C567" t="str">
            <v>مكعب اشعال</v>
          </cell>
          <cell r="D567" t="str">
            <v>أدوات تشغيل (ليالي حليم)</v>
          </cell>
          <cell r="E567" t="str">
            <v>حبة</v>
          </cell>
          <cell r="F567" t="str">
            <v>مشتريات مباشرة</v>
          </cell>
          <cell r="G567">
            <v>0.4577</v>
          </cell>
          <cell r="H567" t="str">
            <v/>
          </cell>
        </row>
        <row r="568">
          <cell r="B568">
            <v>871</v>
          </cell>
          <cell r="C568" t="str">
            <v>بلو بيف</v>
          </cell>
          <cell r="D568" t="str">
            <v>مواد غذائية (ليالي حليم)</v>
          </cell>
          <cell r="E568" t="str">
            <v>كيلو</v>
          </cell>
          <cell r="F568" t="str">
            <v>فريشلي</v>
          </cell>
          <cell r="G568">
            <v>39.461100000000002</v>
          </cell>
          <cell r="H568" t="str">
            <v/>
          </cell>
        </row>
        <row r="569">
          <cell r="B569">
            <v>877</v>
          </cell>
          <cell r="C569" t="str">
            <v>سكر ابيض اظرف</v>
          </cell>
          <cell r="D569" t="str">
            <v>مواد غذائية (ليالي حليم)</v>
          </cell>
          <cell r="E569" t="str">
            <v>حبة</v>
          </cell>
          <cell r="F569" t="str">
            <v>مصنع السكر الدعزاز</v>
          </cell>
          <cell r="G569">
            <v>4.0250000000000001E-2</v>
          </cell>
          <cell r="H569" t="str">
            <v/>
          </cell>
        </row>
        <row r="570">
          <cell r="B570">
            <v>902</v>
          </cell>
          <cell r="C570" t="str">
            <v>غطاء 12اونز</v>
          </cell>
          <cell r="D570" t="str">
            <v>تعبئة و تغليف (ليالي حليم)</v>
          </cell>
          <cell r="E570" t="str">
            <v>حبة</v>
          </cell>
          <cell r="F570" t="str">
            <v>واد العطاء</v>
          </cell>
          <cell r="G570">
            <v>6.3250000000000001E-2</v>
          </cell>
          <cell r="H570" t="str">
            <v/>
          </cell>
        </row>
        <row r="571">
          <cell r="B571">
            <v>875</v>
          </cell>
          <cell r="C571" t="str">
            <v>بيبسي علب</v>
          </cell>
          <cell r="D571" t="str">
            <v>المشروبات (ليالي حليم)</v>
          </cell>
          <cell r="E571" t="str">
            <v>حبة</v>
          </cell>
          <cell r="F571" t="str">
            <v>الشرق الأوسط - بيبسي</v>
          </cell>
          <cell r="G571">
            <v>2.7877916704999999</v>
          </cell>
          <cell r="H571">
            <v>2.7875999999999999</v>
          </cell>
        </row>
        <row r="572">
          <cell r="B572">
            <v>873</v>
          </cell>
          <cell r="C572" t="str">
            <v>بيبسي دايت علب</v>
          </cell>
          <cell r="D572" t="str">
            <v>المشروبات (ليالي حليم)</v>
          </cell>
          <cell r="E572" t="str">
            <v>حبة</v>
          </cell>
          <cell r="F572" t="str">
            <v>الشرق الأوسط - بيبسي</v>
          </cell>
          <cell r="G572">
            <v>2.4998125</v>
          </cell>
          <cell r="H572" t="str">
            <v/>
          </cell>
        </row>
        <row r="573">
          <cell r="B573">
            <v>903</v>
          </cell>
          <cell r="C573" t="str">
            <v>عصير تفاح الربيع</v>
          </cell>
          <cell r="D573" t="str">
            <v>المشروبات (ليالي حليم)</v>
          </cell>
          <cell r="E573" t="str">
            <v>لتر</v>
          </cell>
          <cell r="F573" t="str">
            <v>مشتريات مباشرة</v>
          </cell>
          <cell r="G573">
            <v>6.9989000000000008</v>
          </cell>
          <cell r="H573">
            <v>6.9989000000000008</v>
          </cell>
        </row>
        <row r="574">
          <cell r="B574">
            <v>888</v>
          </cell>
          <cell r="C574" t="str">
            <v>مصاص شاليموه شفاف مغلف</v>
          </cell>
          <cell r="D574" t="str">
            <v>تعبئة و تغليف (ليالي حليم)</v>
          </cell>
          <cell r="E574" t="str">
            <v>شدة</v>
          </cell>
          <cell r="F574" t="str">
            <v>واد العطاء</v>
          </cell>
          <cell r="G574">
            <v>2.5874999999999999</v>
          </cell>
          <cell r="H574">
            <v>2.5874999999999999</v>
          </cell>
        </row>
        <row r="575">
          <cell r="B575">
            <v>906</v>
          </cell>
          <cell r="C575" t="str">
            <v>شاي الربيع فرط</v>
          </cell>
          <cell r="D575" t="str">
            <v>مواد غذائية (ليالي حليم)</v>
          </cell>
          <cell r="E575" t="str">
            <v>كيلو</v>
          </cell>
          <cell r="F575" t="str">
            <v>مشتريات مباشرة</v>
          </cell>
          <cell r="G575">
            <v>38.029710845575217</v>
          </cell>
          <cell r="H575">
            <v>37.395549748743711</v>
          </cell>
        </row>
        <row r="576">
          <cell r="B576">
            <v>868</v>
          </cell>
          <cell r="C576" t="str">
            <v>ملاعق حلا صغيرة</v>
          </cell>
          <cell r="D576" t="str">
            <v>تعبئة و تغليف (ليالي حليم)</v>
          </cell>
          <cell r="E576" t="str">
            <v>حبة</v>
          </cell>
          <cell r="F576" t="str">
            <v>واد العطاء</v>
          </cell>
          <cell r="G576">
            <v>0.10349999999999999</v>
          </cell>
          <cell r="H576">
            <v>0.1265</v>
          </cell>
        </row>
        <row r="577">
          <cell r="B577">
            <v>876</v>
          </cell>
          <cell r="C577" t="str">
            <v>دبس فلفل</v>
          </cell>
          <cell r="D577" t="str">
            <v>مواد غذائية (ليالي حليم)</v>
          </cell>
          <cell r="E577" t="str">
            <v>كيلو</v>
          </cell>
          <cell r="F577" t="str">
            <v>مشتريات مباشرة</v>
          </cell>
          <cell r="G577">
            <v>30.605284545454548</v>
          </cell>
          <cell r="H577">
            <v>25.000999999999998</v>
          </cell>
        </row>
        <row r="578">
          <cell r="B578">
            <v>878</v>
          </cell>
          <cell r="C578" t="str">
            <v>زنجبيل خيط</v>
          </cell>
          <cell r="D578" t="str">
            <v>مواد غذائية (ليالي حليم)</v>
          </cell>
          <cell r="E578" t="str">
            <v>حبة</v>
          </cell>
          <cell r="F578" t="str">
            <v>مشتريات مباشرة</v>
          </cell>
          <cell r="G578">
            <v>0.52440000000000009</v>
          </cell>
          <cell r="H578">
            <v>0.52493666666666672</v>
          </cell>
        </row>
        <row r="579">
          <cell r="B579">
            <v>905</v>
          </cell>
          <cell r="C579" t="str">
            <v>ليز فلفل حار 21 جرام</v>
          </cell>
          <cell r="D579" t="str">
            <v>دعايا وتسويق</v>
          </cell>
          <cell r="E579" t="str">
            <v>حبة</v>
          </cell>
          <cell r="F579" t="str">
            <v>بيبسيكو ليز</v>
          </cell>
          <cell r="G579">
            <v>1.1996964335000002</v>
          </cell>
          <cell r="H579">
            <v>1.2024285000000001</v>
          </cell>
        </row>
        <row r="580">
          <cell r="B580">
            <v>908</v>
          </cell>
          <cell r="C580" t="str">
            <v>كيكة باردة بالمانجو</v>
          </cell>
          <cell r="D580" t="str">
            <v>مواد غذائية (ليالي حليم)</v>
          </cell>
          <cell r="E580" t="str">
            <v>حبة</v>
          </cell>
          <cell r="F580" t="str">
            <v>انس غالب - جاناش</v>
          </cell>
          <cell r="G580">
            <v>21.5625</v>
          </cell>
          <cell r="H580" t="str">
            <v/>
          </cell>
        </row>
        <row r="581">
          <cell r="B581">
            <v>909</v>
          </cell>
          <cell r="C581" t="str">
            <v>عصير الربيع اناناس</v>
          </cell>
          <cell r="D581" t="str">
            <v>مواد غذائية (ليالي حليم)</v>
          </cell>
          <cell r="E581" t="str">
            <v>لتر</v>
          </cell>
          <cell r="F581" t="str">
            <v>مشتريات مباشرة</v>
          </cell>
          <cell r="G581">
            <v>6.9897</v>
          </cell>
          <cell r="H581" t="str">
            <v/>
          </cell>
        </row>
        <row r="582">
          <cell r="B582">
            <v>879</v>
          </cell>
          <cell r="C582" t="str">
            <v>روبيان بقسماط مجمد</v>
          </cell>
          <cell r="D582" t="str">
            <v>مواد غذائية (ليالي حليم)</v>
          </cell>
          <cell r="E582" t="str">
            <v>كيلو</v>
          </cell>
          <cell r="F582" t="str">
            <v>امريكانا</v>
          </cell>
          <cell r="G582">
            <v>55.774999999999999</v>
          </cell>
          <cell r="H582">
            <v>55.774999999999999</v>
          </cell>
        </row>
        <row r="583">
          <cell r="B583">
            <v>910</v>
          </cell>
          <cell r="C583" t="str">
            <v>علب حلا مربع شفاف 18</v>
          </cell>
          <cell r="D583" t="str">
            <v>تعبئة و تغليف (ليالي حليم)</v>
          </cell>
          <cell r="E583" t="str">
            <v>حبة</v>
          </cell>
          <cell r="F583" t="str">
            <v>مشتريات مباشرة</v>
          </cell>
          <cell r="G583">
            <v>0.58333299999999999</v>
          </cell>
          <cell r="H583" t="str">
            <v/>
          </cell>
        </row>
        <row r="584">
          <cell r="B584">
            <v>912</v>
          </cell>
          <cell r="C584" t="str">
            <v>بودرة تنظيف لماكينة القهوة</v>
          </cell>
          <cell r="D584" t="str">
            <v>منظفات</v>
          </cell>
          <cell r="E584" t="str">
            <v>حبة</v>
          </cell>
          <cell r="F584" t="str">
            <v>محامص البلد القديمة</v>
          </cell>
          <cell r="G584">
            <v>72.45</v>
          </cell>
          <cell r="H584" t="str">
            <v/>
          </cell>
        </row>
        <row r="585">
          <cell r="B585">
            <v>915</v>
          </cell>
          <cell r="C585" t="str">
            <v>مجموعة ياميش رمضان</v>
          </cell>
          <cell r="D585" t="str">
            <v>مواد غذائية (طحينة)</v>
          </cell>
          <cell r="E585" t="str">
            <v>عدد</v>
          </cell>
          <cell r="F585" t="str">
            <v>مشتريات مباشرة</v>
          </cell>
          <cell r="G585">
            <v>0</v>
          </cell>
          <cell r="H585" t="str">
            <v/>
          </cell>
        </row>
        <row r="586">
          <cell r="B586">
            <v>914</v>
          </cell>
          <cell r="C586" t="str">
            <v>فول مدمس</v>
          </cell>
          <cell r="D586" t="str">
            <v>وجبات اسطف</v>
          </cell>
          <cell r="E586" t="str">
            <v>حبة</v>
          </cell>
          <cell r="F586" t="str">
            <v>مشتريات مباشرة</v>
          </cell>
          <cell r="G586">
            <v>1.39</v>
          </cell>
          <cell r="H586" t="str">
            <v/>
          </cell>
        </row>
        <row r="587">
          <cell r="B587">
            <v>649</v>
          </cell>
          <cell r="C587" t="str">
            <v>لبن طازج صغير180 مل</v>
          </cell>
          <cell r="D587" t="str">
            <v>دعايا وتسويق</v>
          </cell>
          <cell r="E587" t="str">
            <v>لتر</v>
          </cell>
          <cell r="F587" t="str">
            <v>المراعي</v>
          </cell>
          <cell r="G587">
            <v>7.9859999999999998</v>
          </cell>
          <cell r="H587" t="str">
            <v/>
          </cell>
        </row>
        <row r="588">
          <cell r="B588">
            <v>541</v>
          </cell>
          <cell r="C588" t="str">
            <v>كريمة خفق هوبلا</v>
          </cell>
          <cell r="D588" t="str">
            <v>مواد غذائية (المشربية)</v>
          </cell>
          <cell r="E588" t="str">
            <v>لتر</v>
          </cell>
          <cell r="F588" t="str">
            <v>مشتريات مباشرة</v>
          </cell>
          <cell r="G588">
            <v>12.65</v>
          </cell>
          <cell r="H588" t="str">
            <v/>
          </cell>
        </row>
        <row r="589">
          <cell r="B589">
            <v>272</v>
          </cell>
          <cell r="C589" t="str">
            <v>تيشيرت أسود - المشربية</v>
          </cell>
          <cell r="D589" t="str">
            <v>يونيفورم</v>
          </cell>
          <cell r="E589" t="str">
            <v>حبة</v>
          </cell>
          <cell r="F589">
            <v>0</v>
          </cell>
          <cell r="G589">
            <v>34.5</v>
          </cell>
          <cell r="H589" t="str">
            <v/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 t="str">
            <v/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 t="str">
            <v/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 t="str">
            <v/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 t="str">
            <v/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 t="str">
            <v/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 t="str">
            <v/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 t="str">
            <v/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 t="str">
            <v/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 t="str">
            <v/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 t="str">
            <v/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 t="str">
            <v/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 t="str">
            <v/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 t="str">
            <v/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 t="str">
            <v/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 t="str">
            <v/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 t="str">
            <v/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 t="str">
            <v/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 t="str">
            <v/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 t="str">
            <v/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 t="str">
            <v/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 t="str">
            <v/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 t="str">
            <v/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 t="str">
            <v/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 t="str">
            <v/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 t="str">
            <v/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 t="str">
            <v/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 t="str">
            <v/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 t="str">
            <v/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 t="str">
            <v/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 t="str">
            <v/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 t="str">
            <v/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 t="str">
            <v/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 t="str">
            <v/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 t="str">
            <v/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 t="str">
            <v/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 t="str">
            <v/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 t="str">
            <v/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 t="str">
            <v/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 t="str">
            <v/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 t="str">
            <v/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3CB1-A405-4266-B509-C26274CC8FE9}">
  <dimension ref="B1:X819"/>
  <sheetViews>
    <sheetView showGridLines="0" rightToLeft="1" tabSelected="1" topLeftCell="A2" zoomScale="80" zoomScaleNormal="80" workbookViewId="0">
      <pane xSplit="7" ySplit="5" topLeftCell="H7" activePane="bottomRight" state="frozen"/>
      <selection activeCell="A2" sqref="A2"/>
      <selection pane="topRight" activeCell="H2" sqref="H2"/>
      <selection pane="bottomLeft" activeCell="A7" sqref="A7"/>
      <selection pane="bottomRight" activeCell="E15" sqref="E15"/>
    </sheetView>
  </sheetViews>
  <sheetFormatPr defaultColWidth="8.796875" defaultRowHeight="14.4" x14ac:dyDescent="0.25"/>
  <cols>
    <col min="1" max="1" width="1.3984375" style="1" customWidth="1"/>
    <col min="2" max="2" width="8.796875" style="1"/>
    <col min="3" max="3" width="23.296875" style="2" customWidth="1"/>
    <col min="4" max="4" width="14.296875" style="2" customWidth="1"/>
    <col min="5" max="5" width="13.296875" style="1" customWidth="1"/>
    <col min="6" max="6" width="15.19921875" style="2" customWidth="1"/>
    <col min="7" max="7" width="8.796875" style="1"/>
    <col min="8" max="8" width="0.69921875" style="1" customWidth="1"/>
    <col min="9" max="16384" width="8.796875" style="1"/>
  </cols>
  <sheetData>
    <row r="1" spans="2:24" hidden="1" x14ac:dyDescent="0.25"/>
    <row r="2" spans="2:24" x14ac:dyDescent="0.25">
      <c r="C2" s="3" t="s">
        <v>0</v>
      </c>
      <c r="D2" s="3"/>
      <c r="E2" s="3"/>
      <c r="F2" s="3"/>
    </row>
    <row r="3" spans="2:24" x14ac:dyDescent="0.25">
      <c r="C3" s="3"/>
      <c r="D3" s="3"/>
      <c r="E3" s="3"/>
      <c r="F3" s="3"/>
    </row>
    <row r="4" spans="2:24" ht="4.2" customHeight="1" x14ac:dyDescent="0.25"/>
    <row r="5" spans="2:24" ht="3.6" customHeight="1" x14ac:dyDescent="0.25"/>
    <row r="6" spans="2:24" ht="22.95" customHeight="1" thickBot="1" x14ac:dyDescent="0.3"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I6" s="5">
        <v>1</v>
      </c>
      <c r="J6" s="5">
        <v>2</v>
      </c>
      <c r="K6" s="5">
        <v>3</v>
      </c>
      <c r="L6" s="5">
        <v>4</v>
      </c>
      <c r="M6" s="5">
        <v>5</v>
      </c>
      <c r="N6" s="5">
        <v>6</v>
      </c>
      <c r="O6" s="5">
        <v>7</v>
      </c>
      <c r="P6" s="5">
        <v>8</v>
      </c>
      <c r="Q6" s="5">
        <v>9</v>
      </c>
      <c r="R6" s="5">
        <v>10</v>
      </c>
      <c r="S6" s="5">
        <v>11</v>
      </c>
      <c r="T6" s="5">
        <v>12</v>
      </c>
    </row>
    <row r="7" spans="2:24" x14ac:dyDescent="0.25">
      <c r="B7" s="6">
        <f>[1]code!B4</f>
        <v>60</v>
      </c>
      <c r="C7" s="7" t="str">
        <f>[1]code!C4</f>
        <v>سماق</v>
      </c>
      <c r="D7" s="7" t="str">
        <f>[1]code!D4</f>
        <v>البهارات</v>
      </c>
      <c r="E7" s="8" t="str">
        <f>[1]code!E4</f>
        <v>كيلو</v>
      </c>
      <c r="F7" s="7" t="str">
        <f>[1]code!F4</f>
        <v>مشتريات مباشرة</v>
      </c>
      <c r="G7" s="9">
        <f>[1]code!G4</f>
        <v>8.0001666666666669</v>
      </c>
      <c r="I7" s="10">
        <v>8.0001666666666669</v>
      </c>
      <c r="J7" s="10">
        <v>8.0017000000000014</v>
      </c>
      <c r="K7" s="10">
        <v>7.9994000000000005</v>
      </c>
      <c r="L7" s="10">
        <v>8.0002624999999998</v>
      </c>
      <c r="M7" s="10">
        <f>IFERROR(VLOOKUP($B7,[1]INV!$B$7:$H$2575,7,0),"")</f>
        <v>8.0020832949999985</v>
      </c>
      <c r="N7" s="10"/>
      <c r="O7" s="10"/>
      <c r="P7" s="10"/>
      <c r="Q7" s="10"/>
      <c r="R7" s="10"/>
      <c r="S7" s="10"/>
      <c r="T7" s="10"/>
      <c r="U7" s="1">
        <f>IF($I7="",$G7,$I7)</f>
        <v>8.0001666666666669</v>
      </c>
      <c r="V7" s="1">
        <f>IF($J7="",$I7,$J7)</f>
        <v>8.0017000000000014</v>
      </c>
      <c r="W7" s="1">
        <f>IF($K7="",$J7,$K7)</f>
        <v>7.9994000000000005</v>
      </c>
      <c r="X7" s="1">
        <f>IF($L7="",$K7,$L7)</f>
        <v>8.0002624999999998</v>
      </c>
    </row>
    <row r="8" spans="2:24" x14ac:dyDescent="0.25">
      <c r="B8" s="11">
        <f>[1]code!B5</f>
        <v>61</v>
      </c>
      <c r="C8" s="2" t="str">
        <f>[1]code!C5</f>
        <v>زعتر مطحون</v>
      </c>
      <c r="D8" s="2" t="str">
        <f>[1]code!D5</f>
        <v>البهارات</v>
      </c>
      <c r="E8" s="1" t="str">
        <f>[1]code!E5</f>
        <v>كيلو</v>
      </c>
      <c r="F8" s="2" t="str">
        <f>[1]code!F5</f>
        <v>مشتريات مباشرة</v>
      </c>
      <c r="G8" s="12">
        <f>[1]code!G5</f>
        <v>29.999590000000001</v>
      </c>
      <c r="I8" s="10">
        <v>29.999590000000001</v>
      </c>
      <c r="J8" s="10">
        <v>30.001056249999998</v>
      </c>
      <c r="K8" s="10">
        <v>29.99972142857143</v>
      </c>
      <c r="L8" s="10">
        <v>29.992574999999999</v>
      </c>
      <c r="M8" s="10">
        <f>IFERROR(VLOOKUP($B8,[1]INV!$B$7:$H$2575,7,0),"")</f>
        <v>30.003499999999999</v>
      </c>
      <c r="N8" s="10"/>
      <c r="O8" s="10"/>
      <c r="P8" s="10"/>
      <c r="Q8" s="10"/>
      <c r="R8" s="10"/>
      <c r="S8" s="10"/>
      <c r="T8" s="10"/>
      <c r="U8" s="1">
        <f t="shared" ref="U8:U71" si="0">IF($I8="",$G8,$I8)</f>
        <v>29.999590000000001</v>
      </c>
      <c r="V8" s="1">
        <f t="shared" ref="V8:V71" si="1">IF($J8="",$I8,$J8)</f>
        <v>30.001056249999998</v>
      </c>
      <c r="W8" s="1">
        <f t="shared" ref="W8:W71" si="2">IF($K8="",$J8,$K8)</f>
        <v>29.99972142857143</v>
      </c>
      <c r="X8" s="1">
        <f t="shared" ref="X8:X71" si="3">IF($L8="",$K8,$L8)</f>
        <v>29.992574999999999</v>
      </c>
    </row>
    <row r="9" spans="2:24" x14ac:dyDescent="0.25">
      <c r="B9" s="11">
        <f>[1]code!B6</f>
        <v>64</v>
      </c>
      <c r="C9" s="2" t="str">
        <f>[1]code!C6</f>
        <v>حبة البركة</v>
      </c>
      <c r="D9" s="2" t="str">
        <f>[1]code!D6</f>
        <v>البهارات</v>
      </c>
      <c r="E9" s="1" t="str">
        <f>[1]code!E6</f>
        <v>كيلو</v>
      </c>
      <c r="F9" s="2" t="str">
        <f>[1]code!F6</f>
        <v>مشتريات مباشرة</v>
      </c>
      <c r="G9" s="12">
        <f>[1]code!G6</f>
        <v>15.500035416666668</v>
      </c>
      <c r="I9" s="10">
        <v>15.500035416666668</v>
      </c>
      <c r="J9" s="10">
        <v>15.50105294117647</v>
      </c>
      <c r="K9" s="10">
        <v>15.499791999999999</v>
      </c>
      <c r="L9" s="10">
        <v>15.500300000000001</v>
      </c>
      <c r="M9" s="10">
        <f>IFERROR(VLOOKUP($B9,[1]INV!$B$7:$H$2575,7,0),"")</f>
        <v>15.500596999999999</v>
      </c>
      <c r="N9" s="10"/>
      <c r="O9" s="10"/>
      <c r="P9" s="10"/>
      <c r="Q9" s="10"/>
      <c r="R9" s="10"/>
      <c r="S9" s="10"/>
      <c r="T9" s="10"/>
      <c r="U9" s="1">
        <f t="shared" si="0"/>
        <v>15.500035416666668</v>
      </c>
      <c r="V9" s="1">
        <f t="shared" si="1"/>
        <v>15.50105294117647</v>
      </c>
      <c r="W9" s="1">
        <f t="shared" si="2"/>
        <v>15.499791999999999</v>
      </c>
      <c r="X9" s="1">
        <f t="shared" si="3"/>
        <v>15.500300000000001</v>
      </c>
    </row>
    <row r="10" spans="2:24" x14ac:dyDescent="0.25">
      <c r="B10" s="11">
        <f>[1]code!B7</f>
        <v>65</v>
      </c>
      <c r="C10" s="2" t="str">
        <f>[1]code!C7</f>
        <v>سمسم</v>
      </c>
      <c r="D10" s="2" t="str">
        <f>[1]code!D7</f>
        <v>البهارات</v>
      </c>
      <c r="E10" s="1" t="str">
        <f>[1]code!E7</f>
        <v>كيلو</v>
      </c>
      <c r="F10" s="2" t="str">
        <f>[1]code!F7</f>
        <v>مشتريات مباشرة</v>
      </c>
      <c r="G10" s="12">
        <f>[1]code!G7</f>
        <v>12.999700000000001</v>
      </c>
      <c r="I10" s="10">
        <v>12.999700000000001</v>
      </c>
      <c r="J10" s="10">
        <v>12.996980555555558</v>
      </c>
      <c r="K10" s="10">
        <v>12.999632200000002</v>
      </c>
      <c r="L10" s="10">
        <v>13.0014</v>
      </c>
      <c r="M10" s="10">
        <f>IFERROR(VLOOKUP($B10,[1]INV!$B$7:$H$2575,7,0),"")</f>
        <v>13.0020518</v>
      </c>
      <c r="N10" s="10"/>
      <c r="O10" s="10"/>
      <c r="P10" s="10"/>
      <c r="Q10" s="10"/>
      <c r="R10" s="10"/>
      <c r="S10" s="10"/>
      <c r="T10" s="10"/>
      <c r="U10" s="1">
        <f t="shared" si="0"/>
        <v>12.999700000000001</v>
      </c>
      <c r="V10" s="1">
        <f t="shared" si="1"/>
        <v>12.996980555555558</v>
      </c>
      <c r="W10" s="1">
        <f t="shared" si="2"/>
        <v>12.999632200000002</v>
      </c>
      <c r="X10" s="1">
        <f t="shared" si="3"/>
        <v>13.0014</v>
      </c>
    </row>
    <row r="11" spans="2:24" x14ac:dyDescent="0.25">
      <c r="B11" s="11">
        <f>[1]code!B8</f>
        <v>53</v>
      </c>
      <c r="C11" s="2" t="str">
        <f>[1]code!C8</f>
        <v>فلفل أسود مطحون</v>
      </c>
      <c r="D11" s="2" t="str">
        <f>[1]code!D8</f>
        <v>البهارات</v>
      </c>
      <c r="E11" s="1" t="str">
        <f>[1]code!E8</f>
        <v>كيلو</v>
      </c>
      <c r="F11" s="2" t="str">
        <f>[1]code!F8</f>
        <v>مشتريات مباشرة</v>
      </c>
      <c r="G11" s="12">
        <f>[1]code!G8</f>
        <v>35.999139999999997</v>
      </c>
      <c r="I11" s="10">
        <v>35.999139999999997</v>
      </c>
      <c r="J11" s="10">
        <v>36.001440000000002</v>
      </c>
      <c r="K11" s="10">
        <v>35.999600000000001</v>
      </c>
      <c r="L11" s="10">
        <v>35.997760000000007</v>
      </c>
      <c r="M11" s="10">
        <f>IFERROR(VLOOKUP($B11,[1]INV!$B$7:$H$2575,7,0),"")</f>
        <v>35.999600000000001</v>
      </c>
      <c r="N11" s="10"/>
      <c r="O11" s="10"/>
      <c r="P11" s="10"/>
      <c r="Q11" s="10"/>
      <c r="R11" s="10"/>
      <c r="S11" s="10"/>
      <c r="T11" s="10"/>
      <c r="U11" s="1">
        <f t="shared" si="0"/>
        <v>35.999139999999997</v>
      </c>
      <c r="V11" s="1">
        <f t="shared" si="1"/>
        <v>36.001440000000002</v>
      </c>
      <c r="W11" s="1">
        <f t="shared" si="2"/>
        <v>35.999600000000001</v>
      </c>
      <c r="X11" s="1">
        <f t="shared" si="3"/>
        <v>35.997760000000007</v>
      </c>
    </row>
    <row r="12" spans="2:24" x14ac:dyDescent="0.25">
      <c r="B12" s="11">
        <f>[1]code!B9</f>
        <v>54</v>
      </c>
      <c r="C12" s="2" t="str">
        <f>[1]code!C9</f>
        <v>كمون مطحون</v>
      </c>
      <c r="D12" s="2" t="str">
        <f>[1]code!D9</f>
        <v>البهارات</v>
      </c>
      <c r="E12" s="1" t="str">
        <f>[1]code!E9</f>
        <v>كيلو</v>
      </c>
      <c r="F12" s="2" t="str">
        <f>[1]code!F9</f>
        <v>الجوهرة</v>
      </c>
      <c r="G12" s="12">
        <f>[1]code!G9</f>
        <v>20</v>
      </c>
      <c r="I12" s="10">
        <v>20</v>
      </c>
      <c r="J12" s="10">
        <v>21.999499999999998</v>
      </c>
      <c r="K12" s="10">
        <v>21.999499999999998</v>
      </c>
      <c r="L12" s="10">
        <v>20</v>
      </c>
      <c r="M12" s="10" t="str">
        <f>IFERROR(VLOOKUP($B12,[1]INV!$B$7:$H$2575,7,0),"")</f>
        <v/>
      </c>
      <c r="N12" s="10"/>
      <c r="O12" s="10"/>
      <c r="P12" s="10"/>
      <c r="Q12" s="10"/>
      <c r="R12" s="10"/>
      <c r="S12" s="10"/>
      <c r="T12" s="10"/>
      <c r="U12" s="1">
        <f t="shared" si="0"/>
        <v>20</v>
      </c>
      <c r="V12" s="1">
        <f t="shared" si="1"/>
        <v>21.999499999999998</v>
      </c>
      <c r="W12" s="1">
        <f t="shared" si="2"/>
        <v>21.999499999999998</v>
      </c>
      <c r="X12" s="1">
        <f t="shared" si="3"/>
        <v>20</v>
      </c>
    </row>
    <row r="13" spans="2:24" x14ac:dyDescent="0.25">
      <c r="B13" s="11">
        <f>[1]code!B10</f>
        <v>55</v>
      </c>
      <c r="C13" s="2" t="str">
        <f>[1]code!C10</f>
        <v>كزبرة مطحون</v>
      </c>
      <c r="D13" s="2" t="str">
        <f>[1]code!D10</f>
        <v>البهارات</v>
      </c>
      <c r="E13" s="1" t="str">
        <f>[1]code!E10</f>
        <v>كيلو</v>
      </c>
      <c r="F13" s="2" t="str">
        <f>[1]code!F10</f>
        <v>الجوهرة</v>
      </c>
      <c r="G13" s="12">
        <f>[1]code!G10</f>
        <v>13.04</v>
      </c>
      <c r="I13" s="10">
        <v>13.04</v>
      </c>
      <c r="J13" s="10">
        <v>13.04</v>
      </c>
      <c r="K13" s="10">
        <v>13.04</v>
      </c>
      <c r="L13" s="10">
        <v>12</v>
      </c>
      <c r="M13" s="10" t="str">
        <f>IFERROR(VLOOKUP($B13,[1]INV!$B$7:$H$2575,7,0),"")</f>
        <v/>
      </c>
      <c r="N13" s="10"/>
      <c r="O13" s="10"/>
      <c r="P13" s="10"/>
      <c r="Q13" s="10"/>
      <c r="R13" s="10"/>
      <c r="S13" s="10"/>
      <c r="T13" s="10"/>
      <c r="U13" s="1">
        <f t="shared" si="0"/>
        <v>13.04</v>
      </c>
      <c r="V13" s="1">
        <f t="shared" si="1"/>
        <v>13.04</v>
      </c>
      <c r="W13" s="1">
        <f t="shared" si="2"/>
        <v>13.04</v>
      </c>
      <c r="X13" s="1">
        <f t="shared" si="3"/>
        <v>12</v>
      </c>
    </row>
    <row r="14" spans="2:24" x14ac:dyDescent="0.25">
      <c r="B14" s="11">
        <f>[1]code!B11</f>
        <v>63</v>
      </c>
      <c r="C14" s="2" t="str">
        <f>[1]code!C11</f>
        <v>شطة أحمر أبو نمرين</v>
      </c>
      <c r="D14" s="2" t="str">
        <f>[1]code!D11</f>
        <v>البهارات</v>
      </c>
      <c r="E14" s="1" t="str">
        <f>[1]code!E11</f>
        <v>كيلو</v>
      </c>
      <c r="F14" s="2" t="str">
        <f>[1]code!F11</f>
        <v>مشتريات مباشرة</v>
      </c>
      <c r="G14" s="12">
        <f>[1]code!G11</f>
        <v>14.995999999999999</v>
      </c>
      <c r="I14" s="10">
        <v>0</v>
      </c>
      <c r="J14" s="10">
        <v>0</v>
      </c>
      <c r="K14" s="10">
        <v>0</v>
      </c>
      <c r="L14" s="10">
        <v>0</v>
      </c>
      <c r="M14" s="10" t="str">
        <f>IFERROR(VLOOKUP($B14,[1]INV!$B$7:$H$2575,7,0),"")</f>
        <v/>
      </c>
      <c r="N14" s="10"/>
      <c r="O14" s="10"/>
      <c r="P14" s="10"/>
      <c r="Q14" s="10"/>
      <c r="R14" s="10"/>
      <c r="S14" s="10"/>
      <c r="T14" s="10"/>
      <c r="U14" s="1">
        <f t="shared" si="0"/>
        <v>0</v>
      </c>
      <c r="V14" s="1">
        <f t="shared" si="1"/>
        <v>0</v>
      </c>
      <c r="W14" s="1">
        <f t="shared" si="2"/>
        <v>0</v>
      </c>
      <c r="X14" s="1">
        <f t="shared" si="3"/>
        <v>0</v>
      </c>
    </row>
    <row r="15" spans="2:24" x14ac:dyDescent="0.25">
      <c r="B15" s="11">
        <f>[1]code!B12</f>
        <v>56</v>
      </c>
      <c r="C15" s="2" t="str">
        <f>[1]code!C12</f>
        <v>جوزة الطيب مطحون</v>
      </c>
      <c r="D15" s="2" t="str">
        <f>[1]code!D12</f>
        <v>البهارات</v>
      </c>
      <c r="E15" s="1" t="str">
        <f>[1]code!E12</f>
        <v>كيلو</v>
      </c>
      <c r="F15" s="2" t="str">
        <f>[1]code!F12</f>
        <v>مشتريات مباشرة</v>
      </c>
      <c r="G15" s="12">
        <f>[1]code!G12</f>
        <v>145</v>
      </c>
      <c r="I15" s="10">
        <v>0</v>
      </c>
      <c r="J15" s="10">
        <v>0</v>
      </c>
      <c r="K15" s="10">
        <v>0</v>
      </c>
      <c r="L15" s="10">
        <v>0</v>
      </c>
      <c r="M15" s="10" t="str">
        <f>IFERROR(VLOOKUP($B15,[1]INV!$B$7:$H$2575,7,0),"")</f>
        <v/>
      </c>
      <c r="N15" s="10"/>
      <c r="O15" s="10"/>
      <c r="P15" s="10"/>
      <c r="Q15" s="10"/>
      <c r="R15" s="10"/>
      <c r="S15" s="10"/>
      <c r="T15" s="10"/>
      <c r="U15" s="1">
        <f t="shared" si="0"/>
        <v>0</v>
      </c>
      <c r="V15" s="1">
        <f t="shared" si="1"/>
        <v>0</v>
      </c>
      <c r="W15" s="1">
        <f t="shared" si="2"/>
        <v>0</v>
      </c>
      <c r="X15" s="1">
        <f t="shared" si="3"/>
        <v>0</v>
      </c>
    </row>
    <row r="16" spans="2:24" x14ac:dyDescent="0.25">
      <c r="B16" s="11">
        <f>[1]code!B13</f>
        <v>58</v>
      </c>
      <c r="C16" s="2" t="str">
        <f>[1]code!C13</f>
        <v>هيل مطحون</v>
      </c>
      <c r="D16" s="2" t="str">
        <f>[1]code!D13</f>
        <v>البهارات</v>
      </c>
      <c r="E16" s="1" t="str">
        <f>[1]code!E13</f>
        <v>كيلو</v>
      </c>
      <c r="F16" s="2" t="str">
        <f>[1]code!F13</f>
        <v>مشتريات مباشرة</v>
      </c>
      <c r="G16" s="12">
        <f>[1]code!G13</f>
        <v>130</v>
      </c>
      <c r="I16" s="10">
        <v>179.959</v>
      </c>
      <c r="J16" s="10">
        <v>153.26641428571426</v>
      </c>
      <c r="K16" s="10">
        <v>179.95889999999997</v>
      </c>
      <c r="L16" s="10">
        <v>99.999400000000009</v>
      </c>
      <c r="M16" s="10">
        <f>IFERROR(VLOOKUP($B16,[1]INV!$B$7:$H$2575,7,0),"")</f>
        <v>0.98554999999999993</v>
      </c>
      <c r="N16" s="10"/>
      <c r="O16" s="10"/>
      <c r="P16" s="10"/>
      <c r="Q16" s="10"/>
      <c r="R16" s="10"/>
      <c r="S16" s="10"/>
      <c r="T16" s="10"/>
      <c r="U16" s="1">
        <f t="shared" si="0"/>
        <v>179.959</v>
      </c>
      <c r="V16" s="1">
        <f t="shared" si="1"/>
        <v>153.26641428571426</v>
      </c>
      <c r="W16" s="1">
        <f t="shared" si="2"/>
        <v>179.95889999999997</v>
      </c>
      <c r="X16" s="1">
        <f t="shared" si="3"/>
        <v>99.999400000000009</v>
      </c>
    </row>
    <row r="17" spans="2:24" x14ac:dyDescent="0.25">
      <c r="B17" s="11">
        <f>[1]code!B14</f>
        <v>59</v>
      </c>
      <c r="C17" s="2" t="str">
        <f>[1]code!C14</f>
        <v>قرفة مطحونة</v>
      </c>
      <c r="D17" s="2" t="str">
        <f>[1]code!D14</f>
        <v>البهارات</v>
      </c>
      <c r="E17" s="1" t="str">
        <f>[1]code!E14</f>
        <v>كيلو</v>
      </c>
      <c r="F17" s="2" t="str">
        <f>[1]code!F14</f>
        <v>مشتريات مباشرة</v>
      </c>
      <c r="G17" s="12">
        <f>[1]code!G14</f>
        <v>24.942</v>
      </c>
      <c r="I17" s="10">
        <v>24.942350000000001</v>
      </c>
      <c r="J17" s="10">
        <v>24.942350000000001</v>
      </c>
      <c r="K17" s="10">
        <v>24.931999999999999</v>
      </c>
      <c r="L17" s="10">
        <v>24.963049999999999</v>
      </c>
      <c r="M17" s="10" t="str">
        <f>IFERROR(VLOOKUP($B17,[1]INV!$B$7:$H$2575,7,0),"")</f>
        <v/>
      </c>
      <c r="N17" s="10"/>
      <c r="O17" s="10"/>
      <c r="P17" s="10"/>
      <c r="Q17" s="10"/>
      <c r="R17" s="10"/>
      <c r="S17" s="10"/>
      <c r="T17" s="10"/>
      <c r="U17" s="1">
        <f t="shared" si="0"/>
        <v>24.942350000000001</v>
      </c>
      <c r="V17" s="1">
        <f t="shared" si="1"/>
        <v>24.942350000000001</v>
      </c>
      <c r="W17" s="1">
        <f t="shared" si="2"/>
        <v>24.931999999999999</v>
      </c>
      <c r="X17" s="1">
        <f t="shared" si="3"/>
        <v>24.963049999999999</v>
      </c>
    </row>
    <row r="18" spans="2:24" x14ac:dyDescent="0.25">
      <c r="B18" s="11">
        <f>[1]code!B15</f>
        <v>152</v>
      </c>
      <c r="C18" s="2" t="str">
        <f>[1]code!C15</f>
        <v>حلبة</v>
      </c>
      <c r="D18" s="2" t="str">
        <f>[1]code!D15</f>
        <v>البهارات</v>
      </c>
      <c r="E18" s="1" t="str">
        <f>[1]code!E15</f>
        <v>كرتونة</v>
      </c>
      <c r="F18" s="2" t="str">
        <f>[1]code!F15</f>
        <v>مشتريات مباشرة</v>
      </c>
      <c r="G18" s="12">
        <f>[1]code!G15</f>
        <v>70</v>
      </c>
      <c r="I18" s="10">
        <v>0</v>
      </c>
      <c r="J18" s="10">
        <v>9.949799999999998</v>
      </c>
      <c r="K18" s="10">
        <v>9.949799999999998</v>
      </c>
      <c r="L18" s="10">
        <v>9.949799999999998</v>
      </c>
      <c r="M18" s="10" t="str">
        <f>IFERROR(VLOOKUP($B18,[1]INV!$B$7:$H$2575,7,0),"")</f>
        <v/>
      </c>
      <c r="N18" s="10"/>
      <c r="O18" s="10"/>
      <c r="P18" s="10"/>
      <c r="Q18" s="10"/>
      <c r="R18" s="10"/>
      <c r="S18" s="10"/>
      <c r="T18" s="10"/>
      <c r="U18" s="1">
        <f t="shared" si="0"/>
        <v>0</v>
      </c>
      <c r="V18" s="1">
        <f t="shared" si="1"/>
        <v>9.949799999999998</v>
      </c>
      <c r="W18" s="1">
        <f t="shared" si="2"/>
        <v>9.949799999999998</v>
      </c>
      <c r="X18" s="1">
        <f t="shared" si="3"/>
        <v>9.949799999999998</v>
      </c>
    </row>
    <row r="19" spans="2:24" x14ac:dyDescent="0.25">
      <c r="B19" s="11">
        <f>[1]code!B16</f>
        <v>17</v>
      </c>
      <c r="C19" s="2" t="str">
        <f>[1]code!C16</f>
        <v>فلفل مجروش (فريشلى)</v>
      </c>
      <c r="D19" s="2" t="str">
        <f>[1]code!D16</f>
        <v>البهارات</v>
      </c>
      <c r="E19" s="1" t="str">
        <f>[1]code!E16</f>
        <v>عبوة</v>
      </c>
      <c r="F19" s="2" t="str">
        <f>[1]code!F16</f>
        <v>تموين الشرق - فريشلي</v>
      </c>
      <c r="G19" s="12">
        <f>[1]code!G16</f>
        <v>32.582999999999998</v>
      </c>
      <c r="I19" s="10">
        <v>0</v>
      </c>
      <c r="J19" s="10">
        <v>0</v>
      </c>
      <c r="K19" s="10">
        <v>0</v>
      </c>
      <c r="L19" s="10">
        <v>0</v>
      </c>
      <c r="M19" s="10" t="str">
        <f>IFERROR(VLOOKUP($B19,[1]INV!$B$7:$H$2575,7,0),"")</f>
        <v/>
      </c>
      <c r="N19" s="10"/>
      <c r="O19" s="10"/>
      <c r="P19" s="10"/>
      <c r="Q19" s="10"/>
      <c r="R19" s="10"/>
      <c r="S19" s="10"/>
      <c r="T19" s="10"/>
      <c r="U19" s="1">
        <f t="shared" si="0"/>
        <v>0</v>
      </c>
      <c r="V19" s="1">
        <f t="shared" si="1"/>
        <v>0</v>
      </c>
      <c r="W19" s="1">
        <f t="shared" si="2"/>
        <v>0</v>
      </c>
      <c r="X19" s="1">
        <f t="shared" si="3"/>
        <v>0</v>
      </c>
    </row>
    <row r="20" spans="2:24" x14ac:dyDescent="0.25">
      <c r="B20" s="11">
        <f>[1]code!B17</f>
        <v>110</v>
      </c>
      <c r="C20" s="2" t="str">
        <f>[1]code!C17</f>
        <v>دجاج 1000 جرام</v>
      </c>
      <c r="D20" s="2" t="str">
        <f>[1]code!D17</f>
        <v>وجبات اسطف</v>
      </c>
      <c r="E20" s="1" t="str">
        <f>[1]code!E17</f>
        <v>حبة</v>
      </c>
      <c r="F20" s="2" t="str">
        <f>[1]code!F17</f>
        <v>مشتريات مباشرة</v>
      </c>
      <c r="G20" s="12">
        <f>[1]code!G17</f>
        <v>11.66</v>
      </c>
      <c r="I20" s="10">
        <v>13.038759395604394</v>
      </c>
      <c r="J20" s="10">
        <v>13.34</v>
      </c>
      <c r="K20" s="10">
        <v>14.615454545454545</v>
      </c>
      <c r="L20" s="10">
        <v>15.263636363636364</v>
      </c>
      <c r="M20" s="10">
        <f>IFERROR(VLOOKUP($B20,[1]INV!$B$7:$H$2575,7,0),"")</f>
        <v>15.387</v>
      </c>
      <c r="N20" s="10"/>
      <c r="O20" s="10"/>
      <c r="P20" s="10"/>
      <c r="Q20" s="10"/>
      <c r="R20" s="10"/>
      <c r="S20" s="10"/>
      <c r="T20" s="10"/>
      <c r="U20" s="1">
        <f t="shared" si="0"/>
        <v>13.038759395604394</v>
      </c>
      <c r="V20" s="1">
        <f t="shared" si="1"/>
        <v>13.34</v>
      </c>
      <c r="W20" s="1">
        <f t="shared" si="2"/>
        <v>14.615454545454545</v>
      </c>
      <c r="X20" s="1">
        <f t="shared" si="3"/>
        <v>15.263636363636364</v>
      </c>
    </row>
    <row r="21" spans="2:24" x14ac:dyDescent="0.25">
      <c r="B21" s="11">
        <f>[1]code!B18</f>
        <v>580</v>
      </c>
      <c r="C21" s="2" t="str">
        <f>[1]code!C18</f>
        <v>بزاليا مجمدة 20*400 جرام</v>
      </c>
      <c r="D21" s="2" t="str">
        <f>[1]code!D18</f>
        <v>وجبات اسطف</v>
      </c>
      <c r="E21" s="1" t="str">
        <f>[1]code!E18</f>
        <v>كيلو</v>
      </c>
      <c r="F21" s="2" t="str">
        <f>[1]code!F18</f>
        <v>مشتريات مباشرة</v>
      </c>
      <c r="G21" s="12">
        <f>[1]code!G18</f>
        <v>6.6760662500000008</v>
      </c>
      <c r="I21" s="10">
        <v>6.6760662500000008</v>
      </c>
      <c r="J21" s="10">
        <v>5.4625000000000004</v>
      </c>
      <c r="K21" s="10">
        <v>6.1333333333333329</v>
      </c>
      <c r="L21" s="10">
        <v>5.4625000000000004</v>
      </c>
      <c r="M21" s="10">
        <f>IFERROR(VLOOKUP($B21,[1]INV!$B$7:$H$2575,7,0),"")</f>
        <v>5.6541666666666659</v>
      </c>
      <c r="N21" s="10"/>
      <c r="O21" s="10"/>
      <c r="P21" s="10"/>
      <c r="Q21" s="10"/>
      <c r="R21" s="10"/>
      <c r="S21" s="10"/>
      <c r="T21" s="10"/>
      <c r="U21" s="1">
        <f t="shared" si="0"/>
        <v>6.6760662500000008</v>
      </c>
      <c r="V21" s="1">
        <f t="shared" si="1"/>
        <v>5.4625000000000004</v>
      </c>
      <c r="W21" s="1">
        <f t="shared" si="2"/>
        <v>6.1333333333333329</v>
      </c>
      <c r="X21" s="1">
        <f t="shared" si="3"/>
        <v>5.4625000000000004</v>
      </c>
    </row>
    <row r="22" spans="2:24" x14ac:dyDescent="0.25">
      <c r="B22" s="11">
        <f>[1]code!B19</f>
        <v>579</v>
      </c>
      <c r="C22" s="2" t="str">
        <f>[1]code!C19</f>
        <v>فاصواليا خضراء مجمدة 20*400 جرام</v>
      </c>
      <c r="D22" s="2" t="str">
        <f>[1]code!D19</f>
        <v>وجبات اسطف</v>
      </c>
      <c r="E22" s="1" t="str">
        <f>[1]code!E19</f>
        <v>كيلو</v>
      </c>
      <c r="F22" s="2" t="str">
        <f>[1]code!F19</f>
        <v>فروت مكس</v>
      </c>
      <c r="G22" s="12">
        <f>[1]code!G19</f>
        <v>8.0500000000000007</v>
      </c>
      <c r="I22" s="10">
        <v>8.0500000000000007</v>
      </c>
      <c r="J22" s="10">
        <v>8.0500000000000007</v>
      </c>
      <c r="K22" s="10">
        <v>8.0500000000000007</v>
      </c>
      <c r="L22" s="10">
        <v>8.0500000000000007</v>
      </c>
      <c r="M22" s="10" t="str">
        <f>IFERROR(VLOOKUP($B22,[1]INV!$B$7:$H$2575,7,0),"")</f>
        <v/>
      </c>
      <c r="N22" s="10"/>
      <c r="O22" s="10"/>
      <c r="P22" s="10"/>
      <c r="Q22" s="10"/>
      <c r="R22" s="10"/>
      <c r="S22" s="10"/>
      <c r="T22" s="10"/>
      <c r="U22" s="1">
        <f t="shared" si="0"/>
        <v>8.0500000000000007</v>
      </c>
      <c r="V22" s="1">
        <f t="shared" si="1"/>
        <v>8.0500000000000007</v>
      </c>
      <c r="W22" s="1">
        <f t="shared" si="2"/>
        <v>8.0500000000000007</v>
      </c>
      <c r="X22" s="1">
        <f t="shared" si="3"/>
        <v>8.0500000000000007</v>
      </c>
    </row>
    <row r="23" spans="2:24" x14ac:dyDescent="0.25">
      <c r="B23" s="11">
        <f>[1]code!B20</f>
        <v>62</v>
      </c>
      <c r="C23" s="2" t="str">
        <f>[1]code!C20</f>
        <v>أرز 40 كيلو</v>
      </c>
      <c r="D23" s="2" t="str">
        <f>[1]code!D20</f>
        <v>وجبات اسطف</v>
      </c>
      <c r="E23" s="1" t="str">
        <f>[1]code!E20</f>
        <v>شكارة 40 كيلو</v>
      </c>
      <c r="F23" s="2" t="str">
        <f>[1]code!F20</f>
        <v>الرفادة</v>
      </c>
      <c r="G23" s="12">
        <f>[1]code!G20</f>
        <v>143.04184210526313</v>
      </c>
      <c r="I23" s="10">
        <v>143.04184210526313</v>
      </c>
      <c r="J23" s="10">
        <v>140.29999999999998</v>
      </c>
      <c r="K23" s="10">
        <v>143.25714285714284</v>
      </c>
      <c r="L23" s="10">
        <v>147.93181818181819</v>
      </c>
      <c r="M23" s="10">
        <f>IFERROR(VLOOKUP($B23,[1]INV!$B$7:$H$2575,7,0),"")</f>
        <v>148.60555555555555</v>
      </c>
      <c r="N23" s="10"/>
      <c r="O23" s="10"/>
      <c r="P23" s="10"/>
      <c r="Q23" s="10"/>
      <c r="R23" s="10"/>
      <c r="S23" s="10"/>
      <c r="T23" s="10"/>
      <c r="U23" s="1">
        <f t="shared" si="0"/>
        <v>143.04184210526313</v>
      </c>
      <c r="V23" s="1">
        <f t="shared" si="1"/>
        <v>140.29999999999998</v>
      </c>
      <c r="W23" s="1">
        <f t="shared" si="2"/>
        <v>143.25714285714284</v>
      </c>
      <c r="X23" s="1">
        <f t="shared" si="3"/>
        <v>147.93181818181819</v>
      </c>
    </row>
    <row r="24" spans="2:24" x14ac:dyDescent="0.25">
      <c r="B24" s="11">
        <f>[1]code!B21</f>
        <v>184</v>
      </c>
      <c r="C24" s="2" t="str">
        <f>[1]code!C21</f>
        <v>مكرونة</v>
      </c>
      <c r="D24" s="2" t="str">
        <f>[1]code!D21</f>
        <v>وجبات اسطف</v>
      </c>
      <c r="E24" s="1" t="str">
        <f>[1]code!E21</f>
        <v>حبة</v>
      </c>
      <c r="F24" s="2" t="str">
        <f>[1]code!F21</f>
        <v>الرفادة</v>
      </c>
      <c r="G24" s="12">
        <f>[1]code!G21</f>
        <v>1.3225</v>
      </c>
      <c r="I24" s="10">
        <v>1.3225</v>
      </c>
      <c r="J24" s="10">
        <v>1.8399999999999999</v>
      </c>
      <c r="K24" s="10">
        <v>1.3225</v>
      </c>
      <c r="L24" s="10">
        <v>1.3225</v>
      </c>
      <c r="M24" s="10">
        <f>IFERROR(VLOOKUP($B24,[1]INV!$B$7:$H$2575,7,0),"")</f>
        <v>1.85005</v>
      </c>
      <c r="N24" s="10"/>
      <c r="O24" s="10"/>
      <c r="P24" s="10"/>
      <c r="Q24" s="10"/>
      <c r="R24" s="10"/>
      <c r="S24" s="10"/>
      <c r="T24" s="10"/>
      <c r="U24" s="1">
        <f t="shared" si="0"/>
        <v>1.3225</v>
      </c>
      <c r="V24" s="1">
        <f t="shared" si="1"/>
        <v>1.8399999999999999</v>
      </c>
      <c r="W24" s="1">
        <f t="shared" si="2"/>
        <v>1.3225</v>
      </c>
      <c r="X24" s="1">
        <f t="shared" si="3"/>
        <v>1.3225</v>
      </c>
    </row>
    <row r="25" spans="2:24" x14ac:dyDescent="0.25">
      <c r="B25" s="11">
        <f>[1]code!B22</f>
        <v>671</v>
      </c>
      <c r="C25" s="2" t="str">
        <f>[1]code!C22</f>
        <v>ملوخية مجمدة 20*400 جرام</v>
      </c>
      <c r="D25" s="2" t="str">
        <f>[1]code!D22</f>
        <v>وجبات اسطف</v>
      </c>
      <c r="E25" s="1" t="str">
        <f>[1]code!E22</f>
        <v>كيلو</v>
      </c>
      <c r="F25" s="2" t="str">
        <f>[1]code!F22</f>
        <v>المنجم</v>
      </c>
      <c r="G25" s="12">
        <f>[1]code!G22</f>
        <v>4.6958333333333329</v>
      </c>
      <c r="I25" s="10">
        <v>4.6958333333333329</v>
      </c>
      <c r="J25" s="10">
        <v>4.9588000000000001</v>
      </c>
      <c r="K25" s="10">
        <v>5.0308666666666673</v>
      </c>
      <c r="L25" s="10">
        <v>4.9588000000000001</v>
      </c>
      <c r="M25" s="10">
        <f>IFERROR(VLOOKUP($B25,[1]INV!$B$7:$H$2575,7,0),"")</f>
        <v>6.2368333333333332</v>
      </c>
      <c r="N25" s="10"/>
      <c r="O25" s="10"/>
      <c r="P25" s="10"/>
      <c r="Q25" s="10"/>
      <c r="R25" s="10"/>
      <c r="S25" s="10"/>
      <c r="T25" s="10"/>
      <c r="U25" s="1">
        <f t="shared" si="0"/>
        <v>4.6958333333333329</v>
      </c>
      <c r="V25" s="1">
        <f t="shared" si="1"/>
        <v>4.9588000000000001</v>
      </c>
      <c r="W25" s="1">
        <f t="shared" si="2"/>
        <v>5.0308666666666673</v>
      </c>
      <c r="X25" s="1">
        <f t="shared" si="3"/>
        <v>4.9588000000000001</v>
      </c>
    </row>
    <row r="26" spans="2:24" x14ac:dyDescent="0.25">
      <c r="B26" s="11">
        <f>[1]code!B23</f>
        <v>672</v>
      </c>
      <c r="C26" s="2" t="str">
        <f>[1]code!C23</f>
        <v>بامية مجمدة 20*400 جرام</v>
      </c>
      <c r="D26" s="2" t="str">
        <f>[1]code!D23</f>
        <v>وجبات اسطف</v>
      </c>
      <c r="E26" s="1" t="str">
        <f>[1]code!E23</f>
        <v>كيلو</v>
      </c>
      <c r="F26" s="2" t="str">
        <f>[1]code!F23</f>
        <v>المنجم</v>
      </c>
      <c r="G26" s="12">
        <f>[1]code!G23</f>
        <v>7.0916666666666659</v>
      </c>
      <c r="I26" s="10">
        <v>7.0916666666666659</v>
      </c>
      <c r="J26" s="10">
        <v>4.1687500000000002</v>
      </c>
      <c r="K26" s="10">
        <v>8.4093750000000007</v>
      </c>
      <c r="L26" s="10">
        <v>4.1687500000000002</v>
      </c>
      <c r="M26" s="10">
        <f>IFERROR(VLOOKUP($B26,[1]INV!$B$7:$H$2575,7,0),"")</f>
        <v>5.7250833333333331</v>
      </c>
      <c r="N26" s="10"/>
      <c r="O26" s="10"/>
      <c r="P26" s="10"/>
      <c r="Q26" s="10"/>
      <c r="R26" s="10"/>
      <c r="S26" s="10"/>
      <c r="T26" s="10"/>
      <c r="U26" s="1">
        <f t="shared" si="0"/>
        <v>7.0916666666666659</v>
      </c>
      <c r="V26" s="1">
        <f t="shared" si="1"/>
        <v>4.1687500000000002</v>
      </c>
      <c r="W26" s="1">
        <f t="shared" si="2"/>
        <v>8.4093750000000007</v>
      </c>
      <c r="X26" s="1">
        <f t="shared" si="3"/>
        <v>4.1687500000000002</v>
      </c>
    </row>
    <row r="27" spans="2:24" x14ac:dyDescent="0.25">
      <c r="B27" s="11">
        <f>[1]code!B24</f>
        <v>481</v>
      </c>
      <c r="C27" s="2" t="str">
        <f>[1]code!C24</f>
        <v>لحم اسطاف</v>
      </c>
      <c r="D27" s="2" t="str">
        <f>[1]code!D24</f>
        <v>وجبات اسطف</v>
      </c>
      <c r="E27" s="1" t="str">
        <f>[1]code!E24</f>
        <v>كيلو</v>
      </c>
      <c r="F27" s="2" t="str">
        <f>[1]code!F24</f>
        <v>المنجم</v>
      </c>
      <c r="G27" s="12">
        <f>[1]code!G24</f>
        <v>31.05</v>
      </c>
      <c r="I27" s="10">
        <v>31.05</v>
      </c>
      <c r="J27" s="10">
        <v>31.05</v>
      </c>
      <c r="K27" s="10">
        <v>30.474999999999998</v>
      </c>
      <c r="L27" s="10">
        <v>30.474999999999998</v>
      </c>
      <c r="M27" s="10">
        <f>IFERROR(VLOOKUP($B27,[1]INV!$B$7:$H$2575,7,0),"")</f>
        <v>34.5</v>
      </c>
      <c r="N27" s="10"/>
      <c r="O27" s="10"/>
      <c r="P27" s="10"/>
      <c r="Q27" s="10"/>
      <c r="R27" s="10"/>
      <c r="S27" s="10"/>
      <c r="T27" s="10"/>
      <c r="U27" s="1">
        <f t="shared" si="0"/>
        <v>31.05</v>
      </c>
      <c r="V27" s="1">
        <f t="shared" si="1"/>
        <v>31.05</v>
      </c>
      <c r="W27" s="1">
        <f t="shared" si="2"/>
        <v>30.474999999999998</v>
      </c>
      <c r="X27" s="1">
        <f t="shared" si="3"/>
        <v>30.474999999999998</v>
      </c>
    </row>
    <row r="28" spans="2:24" x14ac:dyDescent="0.25">
      <c r="B28" s="11">
        <f>[1]code!B25</f>
        <v>8</v>
      </c>
      <c r="C28" s="2" t="str">
        <f>[1]code!C25</f>
        <v>ليز ملح 14*21جرام</v>
      </c>
      <c r="D28" s="2" t="str">
        <f>[1]code!D25</f>
        <v>دعايا وتسويق</v>
      </c>
      <c r="E28" s="1" t="str">
        <f>[1]code!E25</f>
        <v>حبة</v>
      </c>
      <c r="F28" s="2" t="str">
        <f>[1]code!F25</f>
        <v>شركة بيبسيكو (ليز)</v>
      </c>
      <c r="G28" s="12">
        <f>[1]code!G25</f>
        <v>1.1996926411538462</v>
      </c>
      <c r="I28" s="10">
        <v>1.1996926411538462</v>
      </c>
      <c r="J28" s="10">
        <v>1.2017922087912087</v>
      </c>
      <c r="K28" s="10">
        <v>1.2024349527777778</v>
      </c>
      <c r="L28" s="10">
        <v>1.20243425</v>
      </c>
      <c r="M28" s="10">
        <f>IFERROR(VLOOKUP($B28,[1]INV!$B$7:$H$2575,7,0),"")</f>
        <v>1.2024318045977012</v>
      </c>
      <c r="N28" s="10"/>
      <c r="O28" s="10"/>
      <c r="P28" s="10"/>
      <c r="Q28" s="10"/>
      <c r="R28" s="10"/>
      <c r="S28" s="10"/>
      <c r="T28" s="10"/>
      <c r="U28" s="1">
        <f t="shared" si="0"/>
        <v>1.1996926411538462</v>
      </c>
      <c r="V28" s="1">
        <f t="shared" si="1"/>
        <v>1.2017922087912087</v>
      </c>
      <c r="W28" s="1">
        <f t="shared" si="2"/>
        <v>1.2024349527777778</v>
      </c>
      <c r="X28" s="1">
        <f t="shared" si="3"/>
        <v>1.20243425</v>
      </c>
    </row>
    <row r="29" spans="2:24" x14ac:dyDescent="0.25">
      <c r="B29" s="11">
        <f>[1]code!B26</f>
        <v>9</v>
      </c>
      <c r="C29" s="2" t="str">
        <f>[1]code!C26</f>
        <v>ليز شطة وليمون 14*21جرام</v>
      </c>
      <c r="D29" s="2" t="str">
        <f>[1]code!D26</f>
        <v>دعايا وتسويق</v>
      </c>
      <c r="E29" s="1" t="str">
        <f>[1]code!E26</f>
        <v>حبة</v>
      </c>
      <c r="F29" s="2" t="str">
        <f>[1]code!F26</f>
        <v>شركة بيبسيكو (ليز)</v>
      </c>
      <c r="G29" s="12">
        <f>[1]code!G26</f>
        <v>0.88</v>
      </c>
      <c r="I29" s="10">
        <v>1.2024999999999999</v>
      </c>
      <c r="J29" s="10">
        <v>1.2024999999999999</v>
      </c>
      <c r="K29" s="10">
        <v>1.2024999999999999</v>
      </c>
      <c r="L29" s="10">
        <v>1.2024999999999999</v>
      </c>
      <c r="M29" s="10" t="str">
        <f>IFERROR(VLOOKUP($B29,[1]INV!$B$7:$H$2575,7,0),"")</f>
        <v/>
      </c>
      <c r="N29" s="10"/>
      <c r="O29" s="10"/>
      <c r="P29" s="10"/>
      <c r="Q29" s="10"/>
      <c r="R29" s="10"/>
      <c r="S29" s="10"/>
      <c r="T29" s="10"/>
      <c r="U29" s="1">
        <f t="shared" si="0"/>
        <v>1.2024999999999999</v>
      </c>
      <c r="V29" s="1">
        <f t="shared" si="1"/>
        <v>1.2024999999999999</v>
      </c>
      <c r="W29" s="1">
        <f t="shared" si="2"/>
        <v>1.2024999999999999</v>
      </c>
      <c r="X29" s="1">
        <f t="shared" si="3"/>
        <v>1.2024999999999999</v>
      </c>
    </row>
    <row r="30" spans="2:24" x14ac:dyDescent="0.25">
      <c r="B30" s="11">
        <f>[1]code!B27</f>
        <v>14</v>
      </c>
      <c r="C30" s="2" t="str">
        <f>[1]code!C27</f>
        <v>شوك مغلفة أسود - مطبوع طحينة</v>
      </c>
      <c r="D30" s="2" t="str">
        <f>[1]code!D27</f>
        <v>دعايا وتسويق</v>
      </c>
      <c r="E30" s="1" t="str">
        <f>[1]code!E27</f>
        <v>حبة</v>
      </c>
      <c r="F30" s="2" t="str">
        <f>[1]code!F27</f>
        <v>واد العطاء</v>
      </c>
      <c r="G30" s="12">
        <f>[1]code!G27</f>
        <v>7.4749999999999997E-2</v>
      </c>
      <c r="I30" s="10">
        <v>7.4749999999999997E-2</v>
      </c>
      <c r="J30" s="10">
        <v>7.4749999999999997E-2</v>
      </c>
      <c r="K30" s="10">
        <v>7.4749999999999997E-2</v>
      </c>
      <c r="L30" s="10">
        <v>7.4749999999999997E-2</v>
      </c>
      <c r="M30" s="10">
        <f>IFERROR(VLOOKUP($B30,[1]INV!$B$7:$H$2575,7,0),"")</f>
        <v>8.7400000000000005E-2</v>
      </c>
      <c r="N30" s="10"/>
      <c r="O30" s="10"/>
      <c r="P30" s="10"/>
      <c r="Q30" s="10"/>
      <c r="R30" s="10"/>
      <c r="S30" s="10"/>
      <c r="T30" s="10"/>
      <c r="U30" s="1">
        <f t="shared" si="0"/>
        <v>7.4749999999999997E-2</v>
      </c>
      <c r="V30" s="1">
        <f t="shared" si="1"/>
        <v>7.4749999999999997E-2</v>
      </c>
      <c r="W30" s="1">
        <f t="shared" si="2"/>
        <v>7.4749999999999997E-2</v>
      </c>
      <c r="X30" s="1">
        <f t="shared" si="3"/>
        <v>7.4749999999999997E-2</v>
      </c>
    </row>
    <row r="31" spans="2:24" x14ac:dyDescent="0.25">
      <c r="B31" s="11">
        <f>[1]code!B28</f>
        <v>75</v>
      </c>
      <c r="C31" s="2" t="str">
        <f>[1]code!C28</f>
        <v>علب بطيخ</v>
      </c>
      <c r="D31" s="2" t="str">
        <f>[1]code!D28</f>
        <v>دعايا وتسويق</v>
      </c>
      <c r="E31" s="1" t="str">
        <f>[1]code!E28</f>
        <v>حبة</v>
      </c>
      <c r="F31" s="2" t="str">
        <f>[1]code!F28</f>
        <v>واد العطاء</v>
      </c>
      <c r="G31" s="12">
        <f>[1]code!G28</f>
        <v>0.11916666666666667</v>
      </c>
      <c r="I31" s="10">
        <v>0.11916666666666667</v>
      </c>
      <c r="J31" s="10">
        <v>0.115</v>
      </c>
      <c r="K31" s="10">
        <v>0.115</v>
      </c>
      <c r="L31" s="10">
        <v>0.13343709677419355</v>
      </c>
      <c r="M31" s="10">
        <f>IFERROR(VLOOKUP($B31,[1]INV!$B$7:$H$2575,7,0),"")</f>
        <v>0.13459093999999999</v>
      </c>
      <c r="N31" s="10"/>
      <c r="O31" s="10"/>
      <c r="P31" s="10"/>
      <c r="Q31" s="10"/>
      <c r="R31" s="10"/>
      <c r="S31" s="10"/>
      <c r="T31" s="10"/>
      <c r="U31" s="1">
        <f t="shared" si="0"/>
        <v>0.11916666666666667</v>
      </c>
      <c r="V31" s="1">
        <f t="shared" si="1"/>
        <v>0.115</v>
      </c>
      <c r="W31" s="1">
        <f t="shared" si="2"/>
        <v>0.115</v>
      </c>
      <c r="X31" s="1">
        <f t="shared" si="3"/>
        <v>0.13343709677419355</v>
      </c>
    </row>
    <row r="32" spans="2:24" x14ac:dyDescent="0.25">
      <c r="B32" s="11">
        <f>[1]code!B29</f>
        <v>19</v>
      </c>
      <c r="C32" s="2" t="str">
        <f>[1]code!C29</f>
        <v>ملح الحفلات علب</v>
      </c>
      <c r="D32" s="2" t="str">
        <f>[1]code!D29</f>
        <v>مواد غذائية (طحينة)</v>
      </c>
      <c r="E32" s="1" t="str">
        <f>[1]code!E29</f>
        <v>كيلو</v>
      </c>
      <c r="F32" s="2" t="str">
        <f>[1]code!F29</f>
        <v>الجوهرة</v>
      </c>
      <c r="G32" s="12">
        <f>[1]code!G29</f>
        <v>0.91633466107968109</v>
      </c>
      <c r="I32" s="10">
        <v>0.91633466107968109</v>
      </c>
      <c r="J32" s="10">
        <v>1.3348625000000001</v>
      </c>
      <c r="K32" s="10">
        <v>1.0726818329718004</v>
      </c>
      <c r="L32" s="10">
        <v>0.46</v>
      </c>
      <c r="M32" s="10">
        <f>IFERROR(VLOOKUP($B32,[1]INV!$B$7:$H$2575,7,0),"")</f>
        <v>1.0074726417910447</v>
      </c>
      <c r="N32" s="10"/>
      <c r="O32" s="10"/>
      <c r="P32" s="10"/>
      <c r="Q32" s="10"/>
      <c r="R32" s="10"/>
      <c r="S32" s="10"/>
      <c r="T32" s="10"/>
      <c r="U32" s="1">
        <f t="shared" si="0"/>
        <v>0.91633466107968109</v>
      </c>
      <c r="V32" s="1">
        <f t="shared" si="1"/>
        <v>1.3348625000000001</v>
      </c>
      <c r="W32" s="1">
        <f t="shared" si="2"/>
        <v>1.0726818329718004</v>
      </c>
      <c r="X32" s="1">
        <f t="shared" si="3"/>
        <v>0.46</v>
      </c>
    </row>
    <row r="33" spans="2:24" x14ac:dyDescent="0.25">
      <c r="B33" s="11">
        <f>[1]code!B30</f>
        <v>45</v>
      </c>
      <c r="C33" s="2" t="str">
        <f>[1]code!C30</f>
        <v>خميرة برجمان 500 جرام</v>
      </c>
      <c r="D33" s="2" t="str">
        <f>[1]code!D30</f>
        <v>مواد غذائية (طحينة)</v>
      </c>
      <c r="E33" s="1" t="str">
        <f>[1]code!E30</f>
        <v>علبة</v>
      </c>
      <c r="F33" s="2" t="str">
        <f>[1]code!F30</f>
        <v>السنبلة</v>
      </c>
      <c r="G33" s="12">
        <f>[1]code!G30</f>
        <v>8.9124999999999996</v>
      </c>
      <c r="I33" s="10">
        <v>8.9124999999999996</v>
      </c>
      <c r="J33" s="10">
        <v>8.9124999999999996</v>
      </c>
      <c r="K33" s="10">
        <v>8.9124999999999996</v>
      </c>
      <c r="L33" s="10">
        <v>8.9124999999999996</v>
      </c>
      <c r="M33" s="10">
        <f>IFERROR(VLOOKUP($B33,[1]INV!$B$7:$H$2575,7,0),"")</f>
        <v>8.9124999999999996</v>
      </c>
      <c r="N33" s="10"/>
      <c r="O33" s="10"/>
      <c r="P33" s="10"/>
      <c r="Q33" s="10"/>
      <c r="R33" s="10"/>
      <c r="S33" s="10"/>
      <c r="T33" s="10"/>
      <c r="U33" s="1">
        <f t="shared" si="0"/>
        <v>8.9124999999999996</v>
      </c>
      <c r="V33" s="1">
        <f t="shared" si="1"/>
        <v>8.9124999999999996</v>
      </c>
      <c r="W33" s="1">
        <f t="shared" si="2"/>
        <v>8.9124999999999996</v>
      </c>
      <c r="X33" s="1">
        <f t="shared" si="3"/>
        <v>8.9124999999999996</v>
      </c>
    </row>
    <row r="34" spans="2:24" x14ac:dyDescent="0.25">
      <c r="B34" s="11">
        <f>[1]code!B31</f>
        <v>25</v>
      </c>
      <c r="C34" s="2" t="str">
        <f>[1]code!C31</f>
        <v>محسن هاي بور</v>
      </c>
      <c r="D34" s="2" t="str">
        <f>[1]code!D31</f>
        <v>مواد غذائية (طحينة)</v>
      </c>
      <c r="E34" s="1" t="str">
        <f>[1]code!E31</f>
        <v>علبة</v>
      </c>
      <c r="F34" s="2" t="str">
        <f>[1]code!F31</f>
        <v>مشتريات مباشرة</v>
      </c>
      <c r="G34" s="12">
        <f>[1]code!G31</f>
        <v>59.8</v>
      </c>
      <c r="I34" s="10">
        <v>59.8</v>
      </c>
      <c r="J34" s="10">
        <v>59.8</v>
      </c>
      <c r="K34" s="10">
        <v>59.8</v>
      </c>
      <c r="L34" s="10">
        <v>59.8</v>
      </c>
      <c r="M34" s="10" t="str">
        <f>IFERROR(VLOOKUP($B34,[1]INV!$B$7:$H$2575,7,0),"")</f>
        <v/>
      </c>
      <c r="N34" s="10"/>
      <c r="O34" s="10"/>
      <c r="P34" s="10"/>
      <c r="Q34" s="10"/>
      <c r="R34" s="10"/>
      <c r="S34" s="10"/>
      <c r="T34" s="10"/>
      <c r="U34" s="1">
        <f t="shared" si="0"/>
        <v>59.8</v>
      </c>
      <c r="V34" s="1">
        <f t="shared" si="1"/>
        <v>59.8</v>
      </c>
      <c r="W34" s="1">
        <f t="shared" si="2"/>
        <v>59.8</v>
      </c>
      <c r="X34" s="1">
        <f t="shared" si="3"/>
        <v>59.8</v>
      </c>
    </row>
    <row r="35" spans="2:24" x14ac:dyDescent="0.25">
      <c r="B35" s="11">
        <f>[1]code!B32</f>
        <v>605</v>
      </c>
      <c r="C35" s="2" t="str">
        <f>[1]code!C32</f>
        <v>جبنة رومي</v>
      </c>
      <c r="D35" s="2" t="str">
        <f>[1]code!D32</f>
        <v>مواد غذائية (طحينة)</v>
      </c>
      <c r="E35" s="1" t="str">
        <f>[1]code!E32</f>
        <v>كيلو</v>
      </c>
      <c r="F35" s="2" t="str">
        <f>[1]code!F32</f>
        <v>مشتريات مباشرة</v>
      </c>
      <c r="G35" s="12">
        <f>[1]code!G32</f>
        <v>41.432778402366871</v>
      </c>
      <c r="I35" s="10">
        <v>41.432778402366871</v>
      </c>
      <c r="J35" s="10">
        <v>42.947006658446362</v>
      </c>
      <c r="K35" s="10">
        <v>41.42965729281768</v>
      </c>
      <c r="L35" s="10">
        <v>42.972899681528652</v>
      </c>
      <c r="M35" s="10">
        <f>IFERROR(VLOOKUP($B35,[1]INV!$B$7:$H$2575,7,0),"")</f>
        <v>38.696637500000001</v>
      </c>
      <c r="N35" s="10"/>
      <c r="O35" s="10"/>
      <c r="P35" s="10"/>
      <c r="Q35" s="10"/>
      <c r="R35" s="10"/>
      <c r="S35" s="10"/>
      <c r="T35" s="10"/>
      <c r="U35" s="1">
        <f t="shared" si="0"/>
        <v>41.432778402366871</v>
      </c>
      <c r="V35" s="1">
        <f t="shared" si="1"/>
        <v>42.947006658446362</v>
      </c>
      <c r="W35" s="1">
        <f t="shared" si="2"/>
        <v>41.42965729281768</v>
      </c>
      <c r="X35" s="1">
        <f t="shared" si="3"/>
        <v>42.972899681528652</v>
      </c>
    </row>
    <row r="36" spans="2:24" x14ac:dyDescent="0.25">
      <c r="B36" s="11">
        <f>[1]code!B33</f>
        <v>609</v>
      </c>
      <c r="C36" s="2" t="str">
        <f>[1]code!C33</f>
        <v>زيتون أخضر</v>
      </c>
      <c r="D36" s="2" t="str">
        <f>[1]code!D33</f>
        <v>مواد غذائية (طحينة)</v>
      </c>
      <c r="E36" s="1" t="str">
        <f>[1]code!E33</f>
        <v>كيلو</v>
      </c>
      <c r="F36" s="2" t="str">
        <f>[1]code!F33</f>
        <v>مشتريات مباشرة</v>
      </c>
      <c r="G36" s="12">
        <f>[1]code!G33</f>
        <v>23.776032689655175</v>
      </c>
      <c r="I36" s="10">
        <v>23.776032689655175</v>
      </c>
      <c r="J36" s="10">
        <v>20.602250000000002</v>
      </c>
      <c r="K36" s="10">
        <v>24.999849999999999</v>
      </c>
      <c r="L36" s="10">
        <v>28.953090000000003</v>
      </c>
      <c r="M36" s="10">
        <f>IFERROR(VLOOKUP($B36,[1]INV!$B$7:$H$2575,7,0),"")</f>
        <v>28.999549999999996</v>
      </c>
      <c r="N36" s="10"/>
      <c r="O36" s="10"/>
      <c r="P36" s="10"/>
      <c r="Q36" s="10"/>
      <c r="R36" s="10"/>
      <c r="S36" s="10"/>
      <c r="T36" s="10"/>
      <c r="U36" s="1">
        <f t="shared" si="0"/>
        <v>23.776032689655175</v>
      </c>
      <c r="V36" s="1">
        <f t="shared" si="1"/>
        <v>20.602250000000002</v>
      </c>
      <c r="W36" s="1">
        <f t="shared" si="2"/>
        <v>24.999849999999999</v>
      </c>
      <c r="X36" s="1">
        <f t="shared" si="3"/>
        <v>28.953090000000003</v>
      </c>
    </row>
    <row r="37" spans="2:24" x14ac:dyDescent="0.25">
      <c r="B37" s="11">
        <f>[1]code!B34</f>
        <v>1</v>
      </c>
      <c r="C37" s="2" t="str">
        <f>[1]code!C34</f>
        <v>طحين كويتي فاخر 2*5كغم</v>
      </c>
      <c r="D37" s="2" t="str">
        <f>[1]code!D34</f>
        <v>مواد غذائية (طحينة)</v>
      </c>
      <c r="E37" s="1" t="str">
        <f>[1]code!E34</f>
        <v>كيلو</v>
      </c>
      <c r="F37" s="2" t="str">
        <f>[1]code!F34</f>
        <v>مسارات الجود</v>
      </c>
      <c r="G37" s="12">
        <f>[1]code!G34</f>
        <v>3.726</v>
      </c>
      <c r="I37" s="10">
        <v>3.726</v>
      </c>
      <c r="J37" s="10">
        <v>4.1709454545454543</v>
      </c>
      <c r="K37" s="10">
        <v>4.5309187279151946</v>
      </c>
      <c r="L37" s="10">
        <v>5.0860000000000003</v>
      </c>
      <c r="M37" s="10">
        <f>IFERROR(VLOOKUP($B37,[1]INV!$B$7:$H$2575,7,0),"")</f>
        <v>4.4704458271604945</v>
      </c>
      <c r="N37" s="10"/>
      <c r="O37" s="10"/>
      <c r="P37" s="10"/>
      <c r="Q37" s="10"/>
      <c r="R37" s="10"/>
      <c r="S37" s="10"/>
      <c r="T37" s="10"/>
      <c r="U37" s="1">
        <f t="shared" si="0"/>
        <v>3.726</v>
      </c>
      <c r="V37" s="1">
        <f t="shared" si="1"/>
        <v>4.1709454545454543</v>
      </c>
      <c r="W37" s="1">
        <f t="shared" si="2"/>
        <v>4.5309187279151946</v>
      </c>
      <c r="X37" s="1">
        <f t="shared" si="3"/>
        <v>5.0860000000000003</v>
      </c>
    </row>
    <row r="38" spans="2:24" x14ac:dyDescent="0.25">
      <c r="B38" s="11">
        <f>[1]code!B35</f>
        <v>23</v>
      </c>
      <c r="C38" s="2" t="str">
        <f>[1]code!C35</f>
        <v>زيت دوار الشمس*1.5ل</v>
      </c>
      <c r="D38" s="2" t="str">
        <f>[1]code!D35</f>
        <v>مواد غذائية (طحينة)</v>
      </c>
      <c r="E38" s="1" t="str">
        <f>[1]code!E35</f>
        <v>لتر</v>
      </c>
      <c r="F38" s="2" t="str">
        <f>[1]code!F35</f>
        <v>صافولا</v>
      </c>
      <c r="G38" s="12">
        <f>[1]code!G35</f>
        <v>7.9223319285714293</v>
      </c>
      <c r="I38" s="10">
        <v>7.9223319285714293</v>
      </c>
      <c r="J38" s="10">
        <v>7.8106517957746471</v>
      </c>
      <c r="K38" s="10">
        <v>8.2208348000000004</v>
      </c>
      <c r="L38" s="10">
        <v>8.4333331590909086</v>
      </c>
      <c r="M38" s="10">
        <f>IFERROR(VLOOKUP($B38,[1]INV!$B$7:$H$2575,7,0),"")</f>
        <v>8.4712869411764711</v>
      </c>
      <c r="N38" s="10"/>
      <c r="O38" s="10"/>
      <c r="P38" s="10"/>
      <c r="Q38" s="10"/>
      <c r="R38" s="10"/>
      <c r="S38" s="10"/>
      <c r="T38" s="10"/>
      <c r="U38" s="1">
        <f t="shared" si="0"/>
        <v>7.9223319285714293</v>
      </c>
      <c r="V38" s="1">
        <f t="shared" si="1"/>
        <v>7.8106517957746471</v>
      </c>
      <c r="W38" s="1">
        <f t="shared" si="2"/>
        <v>8.2208348000000004</v>
      </c>
      <c r="X38" s="1">
        <f t="shared" si="3"/>
        <v>8.4333331590909086</v>
      </c>
    </row>
    <row r="39" spans="2:24" x14ac:dyDescent="0.25">
      <c r="B39" s="11">
        <f>[1]code!B36</f>
        <v>133</v>
      </c>
      <c r="C39" s="2" t="str">
        <f>[1]code!C36</f>
        <v>خل رنا أسود</v>
      </c>
      <c r="D39" s="2" t="str">
        <f>[1]code!D36</f>
        <v>مواد غذائية (طحينة)</v>
      </c>
      <c r="E39" s="1" t="str">
        <f>[1]code!E36</f>
        <v>قارورة</v>
      </c>
      <c r="F39" s="2" t="str">
        <f>[1]code!F36</f>
        <v>رنا - مجموعة بافرط</v>
      </c>
      <c r="G39" s="12">
        <f>[1]code!G36</f>
        <v>2.0124999999999997</v>
      </c>
      <c r="I39" s="10">
        <v>2.0124999999999997</v>
      </c>
      <c r="J39" s="10">
        <v>2.0124999999999997</v>
      </c>
      <c r="K39" s="10">
        <v>2.0124999999999997</v>
      </c>
      <c r="L39" s="10">
        <v>2.2041705</v>
      </c>
      <c r="M39" s="10">
        <f>IFERROR(VLOOKUP($B39,[1]INV!$B$7:$H$2575,7,0),"")</f>
        <v>2.1081270999999995</v>
      </c>
      <c r="N39" s="10"/>
      <c r="O39" s="10"/>
      <c r="P39" s="10"/>
      <c r="Q39" s="10"/>
      <c r="R39" s="10"/>
      <c r="S39" s="10"/>
      <c r="T39" s="10"/>
      <c r="U39" s="1">
        <f t="shared" si="0"/>
        <v>2.0124999999999997</v>
      </c>
      <c r="V39" s="1">
        <f t="shared" si="1"/>
        <v>2.0124999999999997</v>
      </c>
      <c r="W39" s="1">
        <f t="shared" si="2"/>
        <v>2.0124999999999997</v>
      </c>
      <c r="X39" s="1">
        <f t="shared" si="3"/>
        <v>2.2041705</v>
      </c>
    </row>
    <row r="40" spans="2:24" x14ac:dyDescent="0.25">
      <c r="B40" s="11">
        <f>[1]code!B37</f>
        <v>52</v>
      </c>
      <c r="C40" s="2" t="str">
        <f>[1]code!C37</f>
        <v>خل رنا 30لتر</v>
      </c>
      <c r="D40" s="2" t="str">
        <f>[1]code!D37</f>
        <v>مواد غذائية (طحينة)</v>
      </c>
      <c r="E40" s="1" t="str">
        <f>[1]code!E37</f>
        <v>جالون 30 لتر</v>
      </c>
      <c r="F40" s="2" t="str">
        <f>[1]code!F37</f>
        <v>رنا - مجموعة بافرط</v>
      </c>
      <c r="G40" s="12">
        <f>[1]code!G37</f>
        <v>53.475000000000001</v>
      </c>
      <c r="I40" s="10">
        <v>53.475000000000001</v>
      </c>
      <c r="J40" s="10">
        <v>51.75</v>
      </c>
      <c r="K40" s="10">
        <v>51.75</v>
      </c>
      <c r="L40" s="10">
        <v>55.2</v>
      </c>
      <c r="M40" s="10">
        <f>IFERROR(VLOOKUP($B40,[1]INV!$B$7:$H$2575,7,0),"")</f>
        <v>52.071999999999996</v>
      </c>
      <c r="N40" s="10"/>
      <c r="O40" s="10"/>
      <c r="P40" s="10"/>
      <c r="Q40" s="10"/>
      <c r="R40" s="10"/>
      <c r="S40" s="10"/>
      <c r="T40" s="10"/>
      <c r="U40" s="1">
        <f t="shared" si="0"/>
        <v>53.475000000000001</v>
      </c>
      <c r="V40" s="1">
        <f t="shared" si="1"/>
        <v>51.75</v>
      </c>
      <c r="W40" s="1">
        <f t="shared" si="2"/>
        <v>51.75</v>
      </c>
      <c r="X40" s="1">
        <f t="shared" si="3"/>
        <v>55.2</v>
      </c>
    </row>
    <row r="41" spans="2:24" x14ac:dyDescent="0.25">
      <c r="B41" s="11">
        <f>[1]code!B38</f>
        <v>361</v>
      </c>
      <c r="C41" s="2" t="str">
        <f>[1]code!C38</f>
        <v>فراولة مجمدة 1 كجم</v>
      </c>
      <c r="D41" s="2" t="str">
        <f>[1]code!D38</f>
        <v>مواد غذائية (طحينة)</v>
      </c>
      <c r="E41" s="1" t="str">
        <f>[1]code!E38</f>
        <v>كيلو</v>
      </c>
      <c r="F41" s="2" t="str">
        <f>[1]code!F38</f>
        <v>مشتريات مباشرة</v>
      </c>
      <c r="G41" s="12">
        <f>[1]code!G38</f>
        <v>6.1812500000000004</v>
      </c>
      <c r="I41" s="10">
        <v>6.1812500000000004</v>
      </c>
      <c r="J41" s="10">
        <v>6.1812500000000004</v>
      </c>
      <c r="K41" s="10">
        <v>17.25</v>
      </c>
      <c r="L41" s="10">
        <v>17.25</v>
      </c>
      <c r="M41" s="10" t="str">
        <f>IFERROR(VLOOKUP($B41,[1]INV!$B$7:$H$2575,7,0),"")</f>
        <v/>
      </c>
      <c r="N41" s="10"/>
      <c r="O41" s="10"/>
      <c r="P41" s="10"/>
      <c r="Q41" s="10"/>
      <c r="R41" s="10"/>
      <c r="S41" s="10"/>
      <c r="T41" s="10"/>
      <c r="U41" s="1">
        <f t="shared" si="0"/>
        <v>6.1812500000000004</v>
      </c>
      <c r="V41" s="1">
        <f t="shared" si="1"/>
        <v>6.1812500000000004</v>
      </c>
      <c r="W41" s="1">
        <f t="shared" si="2"/>
        <v>17.25</v>
      </c>
      <c r="X41" s="1">
        <f t="shared" si="3"/>
        <v>17.25</v>
      </c>
    </row>
    <row r="42" spans="2:24" x14ac:dyDescent="0.25">
      <c r="B42" s="11">
        <f>[1]code!B39</f>
        <v>554</v>
      </c>
      <c r="C42" s="2" t="str">
        <f>[1]code!C39</f>
        <v>دقيق فينه</v>
      </c>
      <c r="D42" s="2" t="str">
        <f>[1]code!D39</f>
        <v>مواد غذائية (طحينة)</v>
      </c>
      <c r="E42" s="1" t="str">
        <f>[1]code!E39</f>
        <v>كيلو</v>
      </c>
      <c r="F42" s="2" t="str">
        <f>[1]code!F39</f>
        <v>المطاحن العربية</v>
      </c>
      <c r="G42" s="12">
        <f>[1]code!G39</f>
        <v>1.288</v>
      </c>
      <c r="I42" s="10">
        <v>1.288</v>
      </c>
      <c r="J42" s="10">
        <v>1.288</v>
      </c>
      <c r="K42" s="10">
        <v>1.2880000000000003</v>
      </c>
      <c r="L42" s="10">
        <v>1.288</v>
      </c>
      <c r="M42" s="10">
        <f>IFERROR(VLOOKUP($B42,[1]INV!$B$7:$H$2575,7,0),"")</f>
        <v>1.2951369955489616</v>
      </c>
      <c r="N42" s="10"/>
      <c r="O42" s="10"/>
      <c r="P42" s="10"/>
      <c r="Q42" s="10"/>
      <c r="R42" s="10"/>
      <c r="S42" s="10"/>
      <c r="T42" s="10"/>
      <c r="U42" s="1">
        <f t="shared" si="0"/>
        <v>1.288</v>
      </c>
      <c r="V42" s="1">
        <f t="shared" si="1"/>
        <v>1.288</v>
      </c>
      <c r="W42" s="1">
        <f t="shared" si="2"/>
        <v>1.2880000000000003</v>
      </c>
      <c r="X42" s="1">
        <f t="shared" si="3"/>
        <v>1.288</v>
      </c>
    </row>
    <row r="43" spans="2:24" x14ac:dyDescent="0.25">
      <c r="B43" s="11">
        <f>[1]code!B40</f>
        <v>67</v>
      </c>
      <c r="C43" s="2" t="str">
        <f>[1]code!C40</f>
        <v>حليب المراعي طويل الأجل 1 لتر</v>
      </c>
      <c r="D43" s="2" t="str">
        <f>[1]code!D40</f>
        <v>مواد غذائية (طحينة)</v>
      </c>
      <c r="E43" s="1" t="str">
        <f>[1]code!E40</f>
        <v>لتر</v>
      </c>
      <c r="F43" s="2" t="str">
        <f>[1]code!F40</f>
        <v>المراعى</v>
      </c>
      <c r="G43" s="12">
        <f>[1]code!G40</f>
        <v>4.7839999999999998</v>
      </c>
      <c r="I43" s="10">
        <v>4.7839999999999998</v>
      </c>
      <c r="J43" s="10">
        <v>4.7054166666666664</v>
      </c>
      <c r="K43" s="10">
        <v>4.527166666666667</v>
      </c>
      <c r="L43" s="10">
        <v>5.6005000000000003</v>
      </c>
      <c r="M43" s="10">
        <f>IFERROR(VLOOKUP($B43,[1]INV!$B$7:$H$2575,7,0),"")</f>
        <v>5.6006642857142861</v>
      </c>
      <c r="N43" s="10"/>
      <c r="O43" s="10"/>
      <c r="P43" s="10"/>
      <c r="Q43" s="10"/>
      <c r="R43" s="10"/>
      <c r="S43" s="10"/>
      <c r="T43" s="10"/>
      <c r="U43" s="1">
        <f t="shared" si="0"/>
        <v>4.7839999999999998</v>
      </c>
      <c r="V43" s="1">
        <f t="shared" si="1"/>
        <v>4.7054166666666664</v>
      </c>
      <c r="W43" s="1">
        <f t="shared" si="2"/>
        <v>4.527166666666667</v>
      </c>
      <c r="X43" s="1">
        <f t="shared" si="3"/>
        <v>5.6005000000000003</v>
      </c>
    </row>
    <row r="44" spans="2:24" x14ac:dyDescent="0.25">
      <c r="B44" s="11">
        <f>[1]code!B41</f>
        <v>69</v>
      </c>
      <c r="C44" s="2" t="str">
        <f>[1]code!C41</f>
        <v>حليب المراعي طازج 2 لتر</v>
      </c>
      <c r="D44" s="2" t="str">
        <f>[1]code!D41</f>
        <v>مواد غذائية (طحينة)</v>
      </c>
      <c r="E44" s="1" t="str">
        <f>[1]code!E41</f>
        <v>لتر</v>
      </c>
      <c r="F44" s="2" t="str">
        <f>[1]code!F41</f>
        <v>المراعى</v>
      </c>
      <c r="G44" s="12">
        <f>[1]code!G41</f>
        <v>5.1873868075801743</v>
      </c>
      <c r="I44" s="10">
        <v>5.1873868075801743</v>
      </c>
      <c r="J44" s="10">
        <v>5.1797916666666675</v>
      </c>
      <c r="K44" s="10">
        <v>5.1879500000000007</v>
      </c>
      <c r="L44" s="10">
        <v>5.2381032342657337</v>
      </c>
      <c r="M44" s="10">
        <f>IFERROR(VLOOKUP($B44,[1]INV!$B$7:$H$2575,7,0),"")</f>
        <v>5.2324999999999999</v>
      </c>
      <c r="N44" s="10"/>
      <c r="O44" s="10"/>
      <c r="P44" s="10"/>
      <c r="Q44" s="10"/>
      <c r="R44" s="10"/>
      <c r="S44" s="10"/>
      <c r="T44" s="10"/>
      <c r="U44" s="1">
        <f t="shared" si="0"/>
        <v>5.1873868075801743</v>
      </c>
      <c r="V44" s="1">
        <f t="shared" si="1"/>
        <v>5.1797916666666675</v>
      </c>
      <c r="W44" s="1">
        <f t="shared" si="2"/>
        <v>5.1879500000000007</v>
      </c>
      <c r="X44" s="1">
        <f t="shared" si="3"/>
        <v>5.2381032342657337</v>
      </c>
    </row>
    <row r="45" spans="2:24" x14ac:dyDescent="0.25">
      <c r="B45" s="11">
        <f>[1]code!B42</f>
        <v>68</v>
      </c>
      <c r="C45" s="2" t="str">
        <f>[1]code!C42</f>
        <v>لبن المراعي 2لتر</v>
      </c>
      <c r="D45" s="2" t="str">
        <f>[1]code!D42</f>
        <v>مواد غذائية (طحينة)</v>
      </c>
      <c r="E45" s="1" t="str">
        <f>[1]code!E42</f>
        <v>لتر</v>
      </c>
      <c r="F45" s="2" t="str">
        <f>[1]code!F42</f>
        <v>المراعى</v>
      </c>
      <c r="G45" s="12">
        <f>[1]code!G42</f>
        <v>5.1795676056338031</v>
      </c>
      <c r="I45" s="10">
        <v>5.1795676056338031</v>
      </c>
      <c r="J45" s="10">
        <v>5.2015489795918368</v>
      </c>
      <c r="K45" s="10">
        <v>5.1832142857142864</v>
      </c>
      <c r="L45" s="10">
        <v>5.2325000000000008</v>
      </c>
      <c r="M45" s="10">
        <f>IFERROR(VLOOKUP($B45,[1]INV!$B$7:$H$2575,7,0),"")</f>
        <v>5.2324999999999999</v>
      </c>
      <c r="N45" s="10"/>
      <c r="O45" s="10"/>
      <c r="P45" s="10"/>
      <c r="Q45" s="10"/>
      <c r="R45" s="10"/>
      <c r="S45" s="10"/>
      <c r="T45" s="10"/>
      <c r="U45" s="1">
        <f t="shared" si="0"/>
        <v>5.1795676056338031</v>
      </c>
      <c r="V45" s="1">
        <f t="shared" si="1"/>
        <v>5.2015489795918368</v>
      </c>
      <c r="W45" s="1">
        <f t="shared" si="2"/>
        <v>5.1832142857142864</v>
      </c>
      <c r="X45" s="1">
        <f t="shared" si="3"/>
        <v>5.2325000000000008</v>
      </c>
    </row>
    <row r="46" spans="2:24" x14ac:dyDescent="0.25">
      <c r="B46" s="11">
        <f>[1]code!B43</f>
        <v>477</v>
      </c>
      <c r="C46" s="2" t="str">
        <f>[1]code!C43</f>
        <v>كتشب جالون 5 لتر</v>
      </c>
      <c r="D46" s="2" t="str">
        <f>[1]code!D43</f>
        <v>مواد غذائية (طحينة)</v>
      </c>
      <c r="E46" s="1" t="str">
        <f>[1]code!E43</f>
        <v>جالون=5لتر</v>
      </c>
      <c r="F46" s="2" t="str">
        <f>[1]code!F43</f>
        <v>مشتريات مباشرة</v>
      </c>
      <c r="G46" s="12">
        <f>[1]code!G43</f>
        <v>0</v>
      </c>
      <c r="I46" s="10">
        <v>0</v>
      </c>
      <c r="J46" s="10">
        <v>0</v>
      </c>
      <c r="K46" s="10">
        <v>0</v>
      </c>
      <c r="L46" s="10">
        <v>0</v>
      </c>
      <c r="M46" s="10" t="str">
        <f>IFERROR(VLOOKUP($B46,[1]INV!$B$7:$H$2575,7,0),"")</f>
        <v/>
      </c>
      <c r="N46" s="10"/>
      <c r="O46" s="10"/>
      <c r="P46" s="10"/>
      <c r="Q46" s="10"/>
      <c r="R46" s="10"/>
      <c r="S46" s="10"/>
      <c r="T46" s="10"/>
      <c r="U46" s="1">
        <f t="shared" si="0"/>
        <v>0</v>
      </c>
      <c r="V46" s="1">
        <f t="shared" si="1"/>
        <v>0</v>
      </c>
      <c r="W46" s="1">
        <f t="shared" si="2"/>
        <v>0</v>
      </c>
      <c r="X46" s="1">
        <f t="shared" si="3"/>
        <v>0</v>
      </c>
    </row>
    <row r="47" spans="2:24" x14ac:dyDescent="0.25">
      <c r="B47" s="11">
        <f>[1]code!B44</f>
        <v>73</v>
      </c>
      <c r="C47" s="2" t="str">
        <f>[1]code!C44</f>
        <v>طبق بيض</v>
      </c>
      <c r="D47" s="2" t="str">
        <f>[1]code!D44</f>
        <v>مواد غذائية (طحينة)</v>
      </c>
      <c r="E47" s="1" t="str">
        <f>[1]code!E44</f>
        <v>طبق</v>
      </c>
      <c r="F47" s="2" t="str">
        <f>[1]code!F44</f>
        <v>الرفادة</v>
      </c>
      <c r="G47" s="12">
        <f>[1]code!G44</f>
        <v>19.190653749999999</v>
      </c>
      <c r="I47" s="10">
        <v>19.190653749999999</v>
      </c>
      <c r="J47" s="10">
        <v>18.628452727272727</v>
      </c>
      <c r="K47" s="10">
        <v>15.1667658</v>
      </c>
      <c r="L47" s="10">
        <v>15.237499999999999</v>
      </c>
      <c r="M47" s="10">
        <f>IFERROR(VLOOKUP($B47,[1]INV!$B$7:$H$2575,7,0),"")</f>
        <v>15.205683333333333</v>
      </c>
      <c r="N47" s="10"/>
      <c r="O47" s="10"/>
      <c r="P47" s="10"/>
      <c r="Q47" s="10"/>
      <c r="R47" s="10"/>
      <c r="S47" s="10"/>
      <c r="T47" s="10"/>
      <c r="U47" s="1">
        <f t="shared" si="0"/>
        <v>19.190653749999999</v>
      </c>
      <c r="V47" s="1">
        <f t="shared" si="1"/>
        <v>18.628452727272727</v>
      </c>
      <c r="W47" s="1">
        <f t="shared" si="2"/>
        <v>15.1667658</v>
      </c>
      <c r="X47" s="1">
        <f t="shared" si="3"/>
        <v>15.237499999999999</v>
      </c>
    </row>
    <row r="48" spans="2:24" x14ac:dyDescent="0.25">
      <c r="B48" s="11">
        <f>[1]code!B45</f>
        <v>57</v>
      </c>
      <c r="C48" s="2" t="str">
        <f>[1]code!C45</f>
        <v>سكر  50 ك</v>
      </c>
      <c r="D48" s="2" t="str">
        <f>[1]code!D45</f>
        <v>مواد غذائية (طحينة)</v>
      </c>
      <c r="E48" s="1" t="str">
        <f>[1]code!E45</f>
        <v>كيلو</v>
      </c>
      <c r="F48" s="2" t="str">
        <f>[1]code!F45</f>
        <v>الرفادة</v>
      </c>
      <c r="G48" s="12">
        <f>[1]code!G45</f>
        <v>2.4609999999999999</v>
      </c>
      <c r="I48" s="10">
        <v>2.4609999999999999</v>
      </c>
      <c r="J48" s="10">
        <v>2.4215714285714283</v>
      </c>
      <c r="K48" s="10">
        <v>2.4588341666666667</v>
      </c>
      <c r="L48" s="10">
        <v>2.4563999999999999</v>
      </c>
      <c r="M48" s="10">
        <f>IFERROR(VLOOKUP($B48,[1]INV!$B$7:$H$2575,7,0),"")</f>
        <v>2.4625093750000002</v>
      </c>
      <c r="N48" s="10"/>
      <c r="O48" s="10"/>
      <c r="P48" s="10"/>
      <c r="Q48" s="10"/>
      <c r="R48" s="10"/>
      <c r="S48" s="10"/>
      <c r="T48" s="10"/>
      <c r="U48" s="1">
        <f t="shared" si="0"/>
        <v>2.4609999999999999</v>
      </c>
      <c r="V48" s="1">
        <f t="shared" si="1"/>
        <v>2.4215714285714283</v>
      </c>
      <c r="W48" s="1">
        <f t="shared" si="2"/>
        <v>2.4588341666666667</v>
      </c>
      <c r="X48" s="1">
        <f t="shared" si="3"/>
        <v>2.4563999999999999</v>
      </c>
    </row>
    <row r="49" spans="2:24" x14ac:dyDescent="0.25">
      <c r="B49" s="11">
        <f>[1]code!B46</f>
        <v>356</v>
      </c>
      <c r="C49" s="2" t="str">
        <f>[1]code!C46</f>
        <v>أرز مصري</v>
      </c>
      <c r="D49" s="2" t="str">
        <f>[1]code!D46</f>
        <v>مواد غذائية (طحينة)</v>
      </c>
      <c r="E49" s="1" t="str">
        <f>[1]code!E46</f>
        <v>كيلو</v>
      </c>
      <c r="F49" s="2" t="str">
        <f>[1]code!F46</f>
        <v>الرفادة</v>
      </c>
      <c r="G49" s="12">
        <f>[1]code!G46</f>
        <v>5.456092857142858</v>
      </c>
      <c r="I49" s="10">
        <v>5.456092857142858</v>
      </c>
      <c r="J49" s="10">
        <v>5.4191156862745107</v>
      </c>
      <c r="K49" s="10">
        <v>5.3475000000000001</v>
      </c>
      <c r="L49" s="10">
        <v>5.3475000000000001</v>
      </c>
      <c r="M49" s="10">
        <f>IFERROR(VLOOKUP($B49,[1]INV!$B$7:$H$2575,7,0),"")</f>
        <v>5.6530019230769231</v>
      </c>
      <c r="N49" s="10"/>
      <c r="O49" s="10"/>
      <c r="P49" s="10"/>
      <c r="Q49" s="10"/>
      <c r="R49" s="10"/>
      <c r="S49" s="10"/>
      <c r="T49" s="10"/>
      <c r="U49" s="1">
        <f t="shared" si="0"/>
        <v>5.456092857142858</v>
      </c>
      <c r="V49" s="1">
        <f t="shared" si="1"/>
        <v>5.4191156862745107</v>
      </c>
      <c r="W49" s="1">
        <f t="shared" si="2"/>
        <v>5.3475000000000001</v>
      </c>
      <c r="X49" s="1">
        <f t="shared" si="3"/>
        <v>5.3475000000000001</v>
      </c>
    </row>
    <row r="50" spans="2:24" x14ac:dyDescent="0.25">
      <c r="B50" s="11">
        <f>[1]code!B47</f>
        <v>168</v>
      </c>
      <c r="C50" s="2" t="str">
        <f>[1]code!C47</f>
        <v>طحينة الجميل تنك *15ك</v>
      </c>
      <c r="D50" s="2" t="str">
        <f>[1]code!D47</f>
        <v>مواد غذائية (طحينة)</v>
      </c>
      <c r="E50" s="1" t="str">
        <f>[1]code!E47</f>
        <v>كيلو</v>
      </c>
      <c r="F50" s="2" t="str">
        <f>[1]code!F47</f>
        <v>الجميل</v>
      </c>
      <c r="G50" s="12">
        <f>[1]code!G47</f>
        <v>12.65</v>
      </c>
      <c r="I50" s="10">
        <v>12.65</v>
      </c>
      <c r="J50" s="10">
        <v>12.65</v>
      </c>
      <c r="K50" s="10">
        <v>12.65</v>
      </c>
      <c r="L50" s="10">
        <v>12.65</v>
      </c>
      <c r="M50" s="10">
        <f>IFERROR(VLOOKUP($B50,[1]INV!$B$7:$H$2575,7,0),"")</f>
        <v>12.65</v>
      </c>
      <c r="N50" s="10"/>
      <c r="O50" s="10"/>
      <c r="P50" s="10"/>
      <c r="Q50" s="10"/>
      <c r="R50" s="10"/>
      <c r="S50" s="10"/>
      <c r="T50" s="10"/>
      <c r="U50" s="1">
        <f t="shared" si="0"/>
        <v>12.65</v>
      </c>
      <c r="V50" s="1">
        <f t="shared" si="1"/>
        <v>12.65</v>
      </c>
      <c r="W50" s="1">
        <f t="shared" si="2"/>
        <v>12.65</v>
      </c>
      <c r="X50" s="1">
        <f t="shared" si="3"/>
        <v>12.65</v>
      </c>
    </row>
    <row r="51" spans="2:24" x14ac:dyDescent="0.25">
      <c r="B51" s="11">
        <f>[1]code!B48</f>
        <v>626</v>
      </c>
      <c r="C51" s="2" t="str">
        <f>[1]code!C48</f>
        <v>سمنة بلدي 1.600 كيلو جرام</v>
      </c>
      <c r="D51" s="2" t="str">
        <f>[1]code!D48</f>
        <v>مواد غذائية (طحينة)</v>
      </c>
      <c r="E51" s="1" t="str">
        <f>[1]code!E48</f>
        <v>كيلو</v>
      </c>
      <c r="F51" s="2" t="str">
        <f>[1]code!F48</f>
        <v>المراعى</v>
      </c>
      <c r="G51" s="12">
        <f>[1]code!G48</f>
        <v>53.194399999999995</v>
      </c>
      <c r="I51" s="10">
        <v>53.194399999999995</v>
      </c>
      <c r="J51" s="10">
        <v>55.584100000000007</v>
      </c>
      <c r="K51" s="10">
        <v>51.811300000000003</v>
      </c>
      <c r="L51" s="10">
        <v>72.498300000000015</v>
      </c>
      <c r="M51" s="10">
        <f>IFERROR(VLOOKUP($B51,[1]INV!$B$7:$H$2575,7,0),"")</f>
        <v>58.303926666666662</v>
      </c>
      <c r="N51" s="10"/>
      <c r="O51" s="10"/>
      <c r="P51" s="10"/>
      <c r="Q51" s="10"/>
      <c r="R51" s="10"/>
      <c r="S51" s="10"/>
      <c r="T51" s="10"/>
      <c r="U51" s="1">
        <f t="shared" si="0"/>
        <v>53.194399999999995</v>
      </c>
      <c r="V51" s="1">
        <f t="shared" si="1"/>
        <v>55.584100000000007</v>
      </c>
      <c r="W51" s="1">
        <f t="shared" si="2"/>
        <v>51.811300000000003</v>
      </c>
      <c r="X51" s="1">
        <f t="shared" si="3"/>
        <v>72.498300000000015</v>
      </c>
    </row>
    <row r="52" spans="2:24" x14ac:dyDescent="0.25">
      <c r="B52" s="11">
        <f>[1]code!B49</f>
        <v>623</v>
      </c>
      <c r="C52" s="2" t="str">
        <f>[1]code!C49</f>
        <v>مكرونة اسباجيتي</v>
      </c>
      <c r="D52" s="2" t="str">
        <f>[1]code!D49</f>
        <v>مواد غذائية (طحينة)</v>
      </c>
      <c r="E52" s="1" t="str">
        <f>[1]code!E49</f>
        <v>كيلو</v>
      </c>
      <c r="F52" s="2" t="str">
        <f>[1]code!F49</f>
        <v>مشتريات مباشرة</v>
      </c>
      <c r="G52" s="12">
        <f>[1]code!G49</f>
        <v>11.111300000000002</v>
      </c>
      <c r="I52" s="10">
        <v>11.111300000000002</v>
      </c>
      <c r="J52" s="10">
        <v>4.5999999999999996</v>
      </c>
      <c r="K52" s="10">
        <v>4.5999999999999996</v>
      </c>
      <c r="L52" s="10">
        <v>4.5999999999999996</v>
      </c>
      <c r="M52" s="10" t="str">
        <f>IFERROR(VLOOKUP($B52,[1]INV!$B$7:$H$2575,7,0),"")</f>
        <v/>
      </c>
      <c r="N52" s="10"/>
      <c r="O52" s="10"/>
      <c r="P52" s="10"/>
      <c r="Q52" s="10"/>
      <c r="R52" s="10"/>
      <c r="S52" s="10"/>
      <c r="T52" s="10"/>
      <c r="U52" s="1">
        <f t="shared" si="0"/>
        <v>11.111300000000002</v>
      </c>
      <c r="V52" s="1">
        <f t="shared" si="1"/>
        <v>4.5999999999999996</v>
      </c>
      <c r="W52" s="1">
        <f t="shared" si="2"/>
        <v>4.5999999999999996</v>
      </c>
      <c r="X52" s="1">
        <f t="shared" si="3"/>
        <v>4.5999999999999996</v>
      </c>
    </row>
    <row r="53" spans="2:24" x14ac:dyDescent="0.25">
      <c r="B53" s="11">
        <f>[1]code!B50</f>
        <v>692</v>
      </c>
      <c r="C53" s="2" t="str">
        <f>[1]code!C50</f>
        <v>لحم تشك</v>
      </c>
      <c r="D53" s="2" t="str">
        <f>[1]code!D50</f>
        <v>لحوم باك ستريت</v>
      </c>
      <c r="E53" s="1" t="str">
        <f>[1]code!E50</f>
        <v>كيلو</v>
      </c>
      <c r="F53" s="2" t="str">
        <f>[1]code!F50</f>
        <v>اللحمة الذهبية</v>
      </c>
      <c r="G53" s="12">
        <f>[1]code!G50</f>
        <v>54.05</v>
      </c>
      <c r="I53" s="10">
        <v>0</v>
      </c>
      <c r="J53" s="10">
        <v>0</v>
      </c>
      <c r="K53" s="10">
        <v>0</v>
      </c>
      <c r="L53" s="10">
        <v>54.050000000000004</v>
      </c>
      <c r="M53" s="10" t="str">
        <f>IFERROR(VLOOKUP($B53,[1]INV!$B$7:$H$2575,7,0),"")</f>
        <v/>
      </c>
      <c r="N53" s="10"/>
      <c r="O53" s="10"/>
      <c r="P53" s="10"/>
      <c r="Q53" s="10"/>
      <c r="R53" s="10"/>
      <c r="S53" s="10"/>
      <c r="T53" s="10"/>
      <c r="U53" s="1">
        <f t="shared" si="0"/>
        <v>0</v>
      </c>
      <c r="V53" s="1">
        <f t="shared" si="1"/>
        <v>0</v>
      </c>
      <c r="W53" s="1">
        <f t="shared" si="2"/>
        <v>0</v>
      </c>
      <c r="X53" s="1">
        <f t="shared" si="3"/>
        <v>54.050000000000004</v>
      </c>
    </row>
    <row r="54" spans="2:24" x14ac:dyDescent="0.25">
      <c r="B54" s="11">
        <f>[1]code!B51</f>
        <v>693</v>
      </c>
      <c r="C54" s="2" t="str">
        <f>[1]code!C51</f>
        <v>لحم برسكت</v>
      </c>
      <c r="D54" s="2" t="str">
        <f>[1]code!D51</f>
        <v>لحوم باك ستريت</v>
      </c>
      <c r="E54" s="1" t="str">
        <f>[1]code!E51</f>
        <v>كيلو</v>
      </c>
      <c r="F54" s="2" t="str">
        <f>[1]code!F51</f>
        <v>اللحمة الذهبية</v>
      </c>
      <c r="G54" s="12">
        <f>[1]code!G51</f>
        <v>52.9</v>
      </c>
      <c r="I54" s="10">
        <v>0</v>
      </c>
      <c r="J54" s="10">
        <v>0</v>
      </c>
      <c r="K54" s="10">
        <v>0</v>
      </c>
      <c r="L54" s="10">
        <v>52.9</v>
      </c>
      <c r="M54" s="10" t="str">
        <f>IFERROR(VLOOKUP($B54,[1]INV!$B$7:$H$2575,7,0),"")</f>
        <v/>
      </c>
      <c r="N54" s="10"/>
      <c r="O54" s="10"/>
      <c r="P54" s="10"/>
      <c r="Q54" s="10"/>
      <c r="R54" s="10"/>
      <c r="S54" s="10"/>
      <c r="T54" s="10"/>
      <c r="U54" s="1">
        <f t="shared" si="0"/>
        <v>0</v>
      </c>
      <c r="V54" s="1">
        <f t="shared" si="1"/>
        <v>0</v>
      </c>
      <c r="W54" s="1">
        <f t="shared" si="2"/>
        <v>0</v>
      </c>
      <c r="X54" s="1">
        <f t="shared" si="3"/>
        <v>52.9</v>
      </c>
    </row>
    <row r="55" spans="2:24" x14ac:dyDescent="0.25">
      <c r="B55" s="11">
        <f>[1]code!B52</f>
        <v>699</v>
      </c>
      <c r="C55" s="2" t="str">
        <f>[1]code!C52</f>
        <v>لحم اضلاع</v>
      </c>
      <c r="D55" s="2" t="str">
        <f>[1]code!D52</f>
        <v>لحوم باك ستريت</v>
      </c>
      <c r="E55" s="1" t="str">
        <f>[1]code!E52</f>
        <v>كيلو</v>
      </c>
      <c r="F55" s="2" t="str">
        <f>[1]code!F52</f>
        <v>اللحمة الذهبية</v>
      </c>
      <c r="G55" s="12">
        <f>[1]code!G52</f>
        <v>0</v>
      </c>
      <c r="I55" s="10">
        <v>0</v>
      </c>
      <c r="J55" s="10">
        <v>0</v>
      </c>
      <c r="K55" s="10">
        <v>0</v>
      </c>
      <c r="L55" s="10">
        <v>0</v>
      </c>
      <c r="M55" s="10" t="str">
        <f>IFERROR(VLOOKUP($B55,[1]INV!$B$7:$H$2575,7,0),"")</f>
        <v/>
      </c>
      <c r="N55" s="10"/>
      <c r="O55" s="10"/>
      <c r="P55" s="10"/>
      <c r="Q55" s="10"/>
      <c r="R55" s="10"/>
      <c r="S55" s="10"/>
      <c r="T55" s="10"/>
      <c r="U55" s="1">
        <f t="shared" si="0"/>
        <v>0</v>
      </c>
      <c r="V55" s="1">
        <f t="shared" si="1"/>
        <v>0</v>
      </c>
      <c r="W55" s="1">
        <f t="shared" si="2"/>
        <v>0</v>
      </c>
      <c r="X55" s="1">
        <f t="shared" si="3"/>
        <v>0</v>
      </c>
    </row>
    <row r="56" spans="2:24" x14ac:dyDescent="0.25">
      <c r="B56" s="11">
        <f>[1]code!B53</f>
        <v>848</v>
      </c>
      <c r="C56" s="2" t="str">
        <f>[1]code!C53</f>
        <v>ريب أي ستيك</v>
      </c>
      <c r="D56" s="2" t="str">
        <f>[1]code!D53</f>
        <v>لحوم باك ستريت</v>
      </c>
      <c r="E56" s="1" t="str">
        <f>[1]code!E53</f>
        <v>كيلو</v>
      </c>
      <c r="F56" s="2" t="str">
        <f>[1]code!F53</f>
        <v>اللحمة الذهبية</v>
      </c>
      <c r="G56" s="12">
        <f>[1]code!G53</f>
        <v>0</v>
      </c>
      <c r="I56" s="10">
        <v>0</v>
      </c>
      <c r="J56" s="10">
        <v>0</v>
      </c>
      <c r="K56" s="10">
        <v>0</v>
      </c>
      <c r="L56" s="10">
        <v>0</v>
      </c>
      <c r="M56" s="10" t="str">
        <f>IFERROR(VLOOKUP($B56,[1]INV!$B$7:$H$2575,7,0),"")</f>
        <v/>
      </c>
      <c r="N56" s="10"/>
      <c r="O56" s="10"/>
      <c r="P56" s="10"/>
      <c r="Q56" s="10"/>
      <c r="R56" s="10"/>
      <c r="S56" s="10"/>
      <c r="T56" s="10"/>
      <c r="U56" s="1">
        <f t="shared" si="0"/>
        <v>0</v>
      </c>
      <c r="V56" s="1">
        <f t="shared" si="1"/>
        <v>0</v>
      </c>
      <c r="W56" s="1">
        <f t="shared" si="2"/>
        <v>0</v>
      </c>
      <c r="X56" s="1">
        <f t="shared" si="3"/>
        <v>0</v>
      </c>
    </row>
    <row r="57" spans="2:24" x14ac:dyDescent="0.25">
      <c r="B57" s="11">
        <f>[1]code!B54</f>
        <v>695</v>
      </c>
      <c r="C57" s="2" t="str">
        <f>[1]code!C54</f>
        <v>تندر لوين ستيك</v>
      </c>
      <c r="D57" s="2" t="str">
        <f>[1]code!D54</f>
        <v>لحوم باك ستريت</v>
      </c>
      <c r="E57" s="1" t="str">
        <f>[1]code!E54</f>
        <v>كيلو</v>
      </c>
      <c r="F57" s="2" t="str">
        <f>[1]code!F54</f>
        <v>اللحمة الذهبية</v>
      </c>
      <c r="G57" s="12">
        <f>[1]code!G54</f>
        <v>0</v>
      </c>
      <c r="I57" s="10">
        <v>0</v>
      </c>
      <c r="J57" s="10">
        <v>0</v>
      </c>
      <c r="K57" s="10">
        <v>0</v>
      </c>
      <c r="L57" s="10">
        <v>0</v>
      </c>
      <c r="M57" s="10" t="str">
        <f>IFERROR(VLOOKUP($B57,[1]INV!$B$7:$H$2575,7,0),"")</f>
        <v/>
      </c>
      <c r="N57" s="10"/>
      <c r="O57" s="10"/>
      <c r="P57" s="10"/>
      <c r="Q57" s="10"/>
      <c r="R57" s="10"/>
      <c r="S57" s="10"/>
      <c r="T57" s="10"/>
      <c r="U57" s="1">
        <f t="shared" si="0"/>
        <v>0</v>
      </c>
      <c r="V57" s="1">
        <f t="shared" si="1"/>
        <v>0</v>
      </c>
      <c r="W57" s="1">
        <f t="shared" si="2"/>
        <v>0</v>
      </c>
      <c r="X57" s="1">
        <f t="shared" si="3"/>
        <v>0</v>
      </c>
    </row>
    <row r="58" spans="2:24" x14ac:dyDescent="0.25">
      <c r="B58" s="11">
        <f>[1]code!B55</f>
        <v>710</v>
      </c>
      <c r="C58" s="2" t="str">
        <f>[1]code!C55</f>
        <v>صدور دجاج خام كرتونة * 10 كيلو</v>
      </c>
      <c r="D58" s="2" t="str">
        <f>[1]code!D55</f>
        <v>لحوم باك ستريت</v>
      </c>
      <c r="E58" s="1" t="str">
        <f>[1]code!E55</f>
        <v>كيلو</v>
      </c>
      <c r="F58" s="2" t="str">
        <f>[1]code!F55</f>
        <v>امريكانا</v>
      </c>
      <c r="G58" s="12">
        <f>[1]code!G55</f>
        <v>23.23</v>
      </c>
      <c r="I58" s="10">
        <v>0</v>
      </c>
      <c r="J58" s="10">
        <v>0</v>
      </c>
      <c r="K58" s="10">
        <v>0</v>
      </c>
      <c r="L58" s="10">
        <v>0</v>
      </c>
      <c r="M58" s="10">
        <f>IFERROR(VLOOKUP($B58,[1]INV!$B$7:$H$2575,7,0),"")</f>
        <v>23.23</v>
      </c>
      <c r="N58" s="10"/>
      <c r="O58" s="10"/>
      <c r="P58" s="10"/>
      <c r="Q58" s="10"/>
      <c r="R58" s="10"/>
      <c r="S58" s="10"/>
      <c r="T58" s="10"/>
      <c r="U58" s="1">
        <f t="shared" si="0"/>
        <v>0</v>
      </c>
      <c r="V58" s="1">
        <f t="shared" si="1"/>
        <v>0</v>
      </c>
      <c r="W58" s="1">
        <f t="shared" si="2"/>
        <v>0</v>
      </c>
      <c r="X58" s="1">
        <f t="shared" si="3"/>
        <v>0</v>
      </c>
    </row>
    <row r="59" spans="2:24" x14ac:dyDescent="0.25">
      <c r="B59" s="11">
        <f>[1]code!B56</f>
        <v>655</v>
      </c>
      <c r="C59" s="2" t="str">
        <f>[1]code!C56</f>
        <v>اجنحة دجاج</v>
      </c>
      <c r="D59" s="2" t="str">
        <f>[1]code!D56</f>
        <v>لحوم باك ستريت</v>
      </c>
      <c r="E59" s="1" t="str">
        <f>[1]code!E56</f>
        <v>كيلو</v>
      </c>
      <c r="F59" s="2" t="str">
        <f>[1]code!F56</f>
        <v>مشتريات مباشرة</v>
      </c>
      <c r="G59" s="12">
        <f>[1]code!G56</f>
        <v>0</v>
      </c>
      <c r="I59" s="10">
        <v>0</v>
      </c>
      <c r="J59" s="10">
        <v>0</v>
      </c>
      <c r="K59" s="10">
        <v>0</v>
      </c>
      <c r="L59" s="10">
        <v>0</v>
      </c>
      <c r="M59" s="10" t="str">
        <f>IFERROR(VLOOKUP($B59,[1]INV!$B$7:$H$2575,7,0),"")</f>
        <v/>
      </c>
      <c r="N59" s="10"/>
      <c r="O59" s="10"/>
      <c r="P59" s="10"/>
      <c r="Q59" s="10"/>
      <c r="R59" s="10"/>
      <c r="S59" s="10"/>
      <c r="T59" s="10"/>
      <c r="U59" s="1">
        <f t="shared" si="0"/>
        <v>0</v>
      </c>
      <c r="V59" s="1">
        <f t="shared" si="1"/>
        <v>0</v>
      </c>
      <c r="W59" s="1">
        <f t="shared" si="2"/>
        <v>0</v>
      </c>
      <c r="X59" s="1">
        <f t="shared" si="3"/>
        <v>0</v>
      </c>
    </row>
    <row r="60" spans="2:24" x14ac:dyDescent="0.25">
      <c r="B60" s="11">
        <f>[1]code!B57</f>
        <v>668</v>
      </c>
      <c r="C60" s="2" t="str">
        <f>[1]code!C57</f>
        <v xml:space="preserve">بيبي تشكن </v>
      </c>
      <c r="D60" s="2" t="str">
        <f>[1]code!D57</f>
        <v>لحوم باك ستريت</v>
      </c>
      <c r="E60" s="1" t="str">
        <f>[1]code!E57</f>
        <v>حبة</v>
      </c>
      <c r="F60" s="2" t="str">
        <f>[1]code!F57</f>
        <v>المراعى</v>
      </c>
      <c r="G60" s="12">
        <f>[1]code!G57</f>
        <v>0</v>
      </c>
      <c r="I60" s="10">
        <v>0</v>
      </c>
      <c r="J60" s="10">
        <v>0</v>
      </c>
      <c r="K60" s="10">
        <v>0</v>
      </c>
      <c r="L60" s="10">
        <v>0</v>
      </c>
      <c r="M60" s="10" t="str">
        <f>IFERROR(VLOOKUP($B60,[1]INV!$B$7:$H$2575,7,0),"")</f>
        <v/>
      </c>
      <c r="N60" s="10"/>
      <c r="O60" s="10"/>
      <c r="P60" s="10"/>
      <c r="Q60" s="10"/>
      <c r="R60" s="10"/>
      <c r="S60" s="10"/>
      <c r="T60" s="10"/>
      <c r="U60" s="1">
        <f t="shared" si="0"/>
        <v>0</v>
      </c>
      <c r="V60" s="1">
        <f t="shared" si="1"/>
        <v>0</v>
      </c>
      <c r="W60" s="1">
        <f t="shared" si="2"/>
        <v>0</v>
      </c>
      <c r="X60" s="1">
        <f t="shared" si="3"/>
        <v>0</v>
      </c>
    </row>
    <row r="61" spans="2:24" x14ac:dyDescent="0.25">
      <c r="B61" s="11">
        <f>[1]code!B58</f>
        <v>658</v>
      </c>
      <c r="C61" s="2" t="str">
        <f>[1]code!C58</f>
        <v>كليمارى</v>
      </c>
      <c r="D61" s="2" t="str">
        <f>[1]code!D58</f>
        <v>لحوم باك ستريت</v>
      </c>
      <c r="E61" s="1" t="str">
        <f>[1]code!E58</f>
        <v>كيلو</v>
      </c>
      <c r="F61" s="2" t="str">
        <f>[1]code!F58</f>
        <v>مشتريات مباشرة</v>
      </c>
      <c r="G61" s="12">
        <f>[1]code!G58</f>
        <v>0</v>
      </c>
      <c r="I61" s="10">
        <v>0</v>
      </c>
      <c r="J61" s="10">
        <v>0</v>
      </c>
      <c r="K61" s="10">
        <v>0</v>
      </c>
      <c r="L61" s="10">
        <v>0</v>
      </c>
      <c r="M61" s="10" t="str">
        <f>IFERROR(VLOOKUP($B61,[1]INV!$B$7:$H$2575,7,0),"")</f>
        <v/>
      </c>
      <c r="N61" s="10"/>
      <c r="O61" s="10"/>
      <c r="P61" s="10"/>
      <c r="Q61" s="10"/>
      <c r="R61" s="10"/>
      <c r="S61" s="10"/>
      <c r="T61" s="10"/>
      <c r="U61" s="1">
        <f t="shared" si="0"/>
        <v>0</v>
      </c>
      <c r="V61" s="1">
        <f t="shared" si="1"/>
        <v>0</v>
      </c>
      <c r="W61" s="1">
        <f t="shared" si="2"/>
        <v>0</v>
      </c>
      <c r="X61" s="1">
        <f t="shared" si="3"/>
        <v>0</v>
      </c>
    </row>
    <row r="62" spans="2:24" x14ac:dyDescent="0.25">
      <c r="B62" s="11">
        <f>[1]code!B59</f>
        <v>657</v>
      </c>
      <c r="C62" s="2" t="str">
        <f>[1]code!C59</f>
        <v>شرمب</v>
      </c>
      <c r="D62" s="2" t="str">
        <f>[1]code!D59</f>
        <v>لحوم باك ستريت</v>
      </c>
      <c r="E62" s="1" t="str">
        <f>[1]code!E59</f>
        <v>كيلو</v>
      </c>
      <c r="F62" s="2" t="str">
        <f>[1]code!F59</f>
        <v>مشتريات مباشرة</v>
      </c>
      <c r="G62" s="12">
        <f>[1]code!G59</f>
        <v>0</v>
      </c>
      <c r="I62" s="10">
        <v>0</v>
      </c>
      <c r="J62" s="10">
        <v>0</v>
      </c>
      <c r="K62" s="10">
        <v>0</v>
      </c>
      <c r="L62" s="10">
        <v>0</v>
      </c>
      <c r="M62" s="10" t="str">
        <f>IFERROR(VLOOKUP($B62,[1]INV!$B$7:$H$2575,7,0),"")</f>
        <v/>
      </c>
      <c r="N62" s="10"/>
      <c r="O62" s="10"/>
      <c r="P62" s="10"/>
      <c r="Q62" s="10"/>
      <c r="R62" s="10"/>
      <c r="S62" s="10"/>
      <c r="T62" s="10"/>
      <c r="U62" s="1">
        <f t="shared" si="0"/>
        <v>0</v>
      </c>
      <c r="V62" s="1">
        <f t="shared" si="1"/>
        <v>0</v>
      </c>
      <c r="W62" s="1">
        <f t="shared" si="2"/>
        <v>0</v>
      </c>
      <c r="X62" s="1">
        <f t="shared" si="3"/>
        <v>0</v>
      </c>
    </row>
    <row r="63" spans="2:24" x14ac:dyDescent="0.25">
      <c r="B63" s="11">
        <f>[1]code!B60</f>
        <v>752</v>
      </c>
      <c r="C63" s="2" t="str">
        <f>[1]code!C60</f>
        <v>صلصة تتبيلة اجنحة  دجاج 12 اونز</v>
      </c>
      <c r="D63" s="2" t="str">
        <f>[1]code!D60</f>
        <v>مواد غذائية (باك ستريت)</v>
      </c>
      <c r="E63" s="1" t="str">
        <f>[1]code!E60</f>
        <v>كيلو</v>
      </c>
      <c r="F63" s="2" t="str">
        <f>[1]code!F60</f>
        <v>تموين الشرق - فريشلي</v>
      </c>
      <c r="G63" s="12">
        <f>[1]code!G60</f>
        <v>0</v>
      </c>
      <c r="I63" s="10">
        <v>0</v>
      </c>
      <c r="J63" s="10">
        <v>0</v>
      </c>
      <c r="K63" s="10">
        <v>0</v>
      </c>
      <c r="L63" s="10">
        <v>0</v>
      </c>
      <c r="M63" s="10" t="str">
        <f>IFERROR(VLOOKUP($B63,[1]INV!$B$7:$H$2575,7,0),"")</f>
        <v/>
      </c>
      <c r="N63" s="10"/>
      <c r="O63" s="10"/>
      <c r="P63" s="10"/>
      <c r="Q63" s="10"/>
      <c r="R63" s="10"/>
      <c r="S63" s="10"/>
      <c r="T63" s="10"/>
      <c r="U63" s="1">
        <f t="shared" si="0"/>
        <v>0</v>
      </c>
      <c r="V63" s="1">
        <f t="shared" si="1"/>
        <v>0</v>
      </c>
      <c r="W63" s="1">
        <f t="shared" si="2"/>
        <v>0</v>
      </c>
      <c r="X63" s="1">
        <f t="shared" si="3"/>
        <v>0</v>
      </c>
    </row>
    <row r="64" spans="2:24" x14ac:dyDescent="0.25">
      <c r="B64" s="11">
        <f>[1]code!B61</f>
        <v>700</v>
      </c>
      <c r="C64" s="2" t="str">
        <f>[1]code!C61</f>
        <v>جبنة شيدر أصفر قالب ( شبيه جبنة )</v>
      </c>
      <c r="D64" s="2" t="str">
        <f>[1]code!D61</f>
        <v>مواد غذائية (باك ستريت)</v>
      </c>
      <c r="E64" s="1" t="str">
        <f>[1]code!E61</f>
        <v>كيلو</v>
      </c>
      <c r="F64" s="2" t="str">
        <f>[1]code!F61</f>
        <v>برايد</v>
      </c>
      <c r="G64" s="12">
        <f>[1]code!G61</f>
        <v>0</v>
      </c>
      <c r="I64" s="10">
        <v>0</v>
      </c>
      <c r="J64" s="10">
        <v>0</v>
      </c>
      <c r="K64" s="10">
        <v>0</v>
      </c>
      <c r="L64" s="10">
        <v>0</v>
      </c>
      <c r="M64" s="10" t="str">
        <f>IFERROR(VLOOKUP($B64,[1]INV!$B$7:$H$2575,7,0),"")</f>
        <v/>
      </c>
      <c r="N64" s="10"/>
      <c r="O64" s="10"/>
      <c r="P64" s="10"/>
      <c r="Q64" s="10"/>
      <c r="R64" s="10"/>
      <c r="S64" s="10"/>
      <c r="T64" s="10"/>
      <c r="U64" s="1">
        <f t="shared" si="0"/>
        <v>0</v>
      </c>
      <c r="V64" s="1">
        <f t="shared" si="1"/>
        <v>0</v>
      </c>
      <c r="W64" s="1">
        <f t="shared" si="2"/>
        <v>0</v>
      </c>
      <c r="X64" s="1">
        <f t="shared" si="3"/>
        <v>0</v>
      </c>
    </row>
    <row r="65" spans="2:24" x14ac:dyDescent="0.25">
      <c r="B65" s="11">
        <f>[1]code!B62</f>
        <v>604</v>
      </c>
      <c r="C65" s="2" t="str">
        <f>[1]code!C62</f>
        <v>زيت زيتون</v>
      </c>
      <c r="D65" s="2" t="str">
        <f>[1]code!D62</f>
        <v>مواد غذائية (باك ستريت)</v>
      </c>
      <c r="E65" s="1" t="str">
        <f>[1]code!E62</f>
        <v>لتر</v>
      </c>
      <c r="F65" s="2" t="str">
        <f>[1]code!F62</f>
        <v>تموين الشرق - فريشلي</v>
      </c>
      <c r="G65" s="12">
        <f>[1]code!G62</f>
        <v>50.312269999999998</v>
      </c>
      <c r="I65" s="10">
        <v>50.312269999999998</v>
      </c>
      <c r="J65" s="10">
        <v>50.311350000000004</v>
      </c>
      <c r="K65" s="10">
        <v>50.311350000000004</v>
      </c>
      <c r="L65" s="10">
        <v>50.3125</v>
      </c>
      <c r="M65" s="10" t="str">
        <f>IFERROR(VLOOKUP($B65,[1]INV!$B$7:$H$2575,7,0),"")</f>
        <v/>
      </c>
      <c r="N65" s="10"/>
      <c r="O65" s="10"/>
      <c r="P65" s="10"/>
      <c r="Q65" s="10"/>
      <c r="R65" s="10"/>
      <c r="S65" s="10"/>
      <c r="T65" s="10"/>
      <c r="U65" s="1">
        <f t="shared" si="0"/>
        <v>50.312269999999998</v>
      </c>
      <c r="V65" s="1">
        <f t="shared" si="1"/>
        <v>50.311350000000004</v>
      </c>
      <c r="W65" s="1">
        <f t="shared" si="2"/>
        <v>50.311350000000004</v>
      </c>
      <c r="X65" s="1">
        <f t="shared" si="3"/>
        <v>50.3125</v>
      </c>
    </row>
    <row r="66" spans="2:24" x14ac:dyDescent="0.25">
      <c r="B66" s="11">
        <f>[1]code!B63</f>
        <v>666</v>
      </c>
      <c r="C66" s="2" t="str">
        <f>[1]code!C63</f>
        <v>جبنة موزريلا *كيس 2.3 كيلو</v>
      </c>
      <c r="D66" s="2" t="str">
        <f>[1]code!D63</f>
        <v>مواد غذائية (باك ستريت)</v>
      </c>
      <c r="E66" s="1" t="str">
        <f>[1]code!E63</f>
        <v>كيلو</v>
      </c>
      <c r="F66" s="2" t="str">
        <f>[1]code!F63</f>
        <v>برايد</v>
      </c>
      <c r="G66" s="12">
        <f>[1]code!G63</f>
        <v>26.264965990159901</v>
      </c>
      <c r="I66" s="10">
        <v>26.264965990159901</v>
      </c>
      <c r="J66" s="10">
        <v>26.264965990159901</v>
      </c>
      <c r="K66" s="10">
        <v>26.264965990159901</v>
      </c>
      <c r="L66" s="10">
        <v>26.264965990159901</v>
      </c>
      <c r="M66" s="10">
        <f>IFERROR(VLOOKUP($B66,[1]INV!$B$7:$H$2575,7,0),"")</f>
        <v>24.999850000000002</v>
      </c>
      <c r="N66" s="10"/>
      <c r="O66" s="10"/>
      <c r="P66" s="10"/>
      <c r="Q66" s="10"/>
      <c r="R66" s="10"/>
      <c r="S66" s="10"/>
      <c r="T66" s="10"/>
      <c r="U66" s="1">
        <f t="shared" si="0"/>
        <v>26.264965990159901</v>
      </c>
      <c r="V66" s="1">
        <f t="shared" si="1"/>
        <v>26.264965990159901</v>
      </c>
      <c r="W66" s="1">
        <f t="shared" si="2"/>
        <v>26.264965990159901</v>
      </c>
      <c r="X66" s="1">
        <f t="shared" si="3"/>
        <v>26.264965990159901</v>
      </c>
    </row>
    <row r="67" spans="2:24" x14ac:dyDescent="0.25">
      <c r="B67" s="11">
        <f>[1]code!B64</f>
        <v>145</v>
      </c>
      <c r="C67" s="2" t="str">
        <f>[1]code!C64</f>
        <v>زبدة  كرتونة * 25 كيلو</v>
      </c>
      <c r="D67" s="2" t="str">
        <f>[1]code!D64</f>
        <v>مواد غذائية (باك ستريت)</v>
      </c>
      <c r="E67" s="1" t="str">
        <f>[1]code!E64</f>
        <v>كيلو</v>
      </c>
      <c r="F67" s="2" t="str">
        <f>[1]code!F64</f>
        <v>المراعى</v>
      </c>
      <c r="G67" s="12">
        <f>[1]code!G64</f>
        <v>39.905000000000001</v>
      </c>
      <c r="I67" s="10">
        <v>39.905000000000001</v>
      </c>
      <c r="J67" s="10">
        <v>39.905000000000001</v>
      </c>
      <c r="K67" s="10">
        <v>39.79345</v>
      </c>
      <c r="L67" s="10">
        <v>40.480000000000004</v>
      </c>
      <c r="M67" s="10">
        <f>IFERROR(VLOOKUP($B67,[1]INV!$B$7:$H$2575,7,0),"")</f>
        <v>40.480000000000004</v>
      </c>
      <c r="N67" s="10"/>
      <c r="O67" s="10"/>
      <c r="P67" s="10"/>
      <c r="Q67" s="10"/>
      <c r="R67" s="10"/>
      <c r="S67" s="10"/>
      <c r="T67" s="10"/>
      <c r="U67" s="1">
        <f t="shared" si="0"/>
        <v>39.905000000000001</v>
      </c>
      <c r="V67" s="1">
        <f t="shared" si="1"/>
        <v>39.905000000000001</v>
      </c>
      <c r="W67" s="1">
        <f t="shared" si="2"/>
        <v>39.79345</v>
      </c>
      <c r="X67" s="1">
        <f t="shared" si="3"/>
        <v>40.480000000000004</v>
      </c>
    </row>
    <row r="68" spans="2:24" x14ac:dyDescent="0.25">
      <c r="B68" s="11">
        <f>[1]code!B65</f>
        <v>365</v>
      </c>
      <c r="C68" s="2" t="str">
        <f>[1]code!C65</f>
        <v>كريمة الطبخ 1 لتر</v>
      </c>
      <c r="D68" s="2" t="str">
        <f>[1]code!D65</f>
        <v>مواد غذائية (باك ستريت)</v>
      </c>
      <c r="E68" s="1" t="str">
        <f>[1]code!E65</f>
        <v>لتر</v>
      </c>
      <c r="F68" s="2" t="str">
        <f>[1]code!F65</f>
        <v>المراعى</v>
      </c>
      <c r="G68" s="12">
        <f>[1]code!G65</f>
        <v>16.421999999999997</v>
      </c>
      <c r="I68" s="10">
        <v>16.421999999999997</v>
      </c>
      <c r="J68" s="10">
        <v>23.804999999999996</v>
      </c>
      <c r="K68" s="10">
        <v>25.228564705882349</v>
      </c>
      <c r="L68" s="10">
        <v>23.804999999999996</v>
      </c>
      <c r="M68" s="10">
        <f>IFERROR(VLOOKUP($B68,[1]INV!$B$7:$H$2575,7,0),"")</f>
        <v>23.804999999999996</v>
      </c>
      <c r="N68" s="10"/>
      <c r="O68" s="10"/>
      <c r="P68" s="10"/>
      <c r="Q68" s="10"/>
      <c r="R68" s="10"/>
      <c r="S68" s="10"/>
      <c r="T68" s="10"/>
      <c r="U68" s="1">
        <f t="shared" si="0"/>
        <v>16.421999999999997</v>
      </c>
      <c r="V68" s="1">
        <f t="shared" si="1"/>
        <v>23.804999999999996</v>
      </c>
      <c r="W68" s="1">
        <f t="shared" si="2"/>
        <v>25.228564705882349</v>
      </c>
      <c r="X68" s="1">
        <f t="shared" si="3"/>
        <v>23.804999999999996</v>
      </c>
    </row>
    <row r="69" spans="2:24" x14ac:dyDescent="0.25">
      <c r="B69" s="11">
        <f>[1]code!B66</f>
        <v>679</v>
      </c>
      <c r="C69" s="2" t="str">
        <f>[1]code!C66</f>
        <v>كاجو</v>
      </c>
      <c r="D69" s="2" t="str">
        <f>[1]code!D66</f>
        <v>مواد غذائية (باك ستريت)</v>
      </c>
      <c r="E69" s="1" t="str">
        <f>[1]code!E66</f>
        <v>كيلو</v>
      </c>
      <c r="F69" s="2" t="str">
        <f>[1]code!F66</f>
        <v>الجميل</v>
      </c>
      <c r="G69" s="12">
        <f>[1]code!G66</f>
        <v>0</v>
      </c>
      <c r="I69" s="10">
        <v>0</v>
      </c>
      <c r="J69" s="10">
        <v>0</v>
      </c>
      <c r="K69" s="10">
        <v>0</v>
      </c>
      <c r="L69" s="10">
        <v>0</v>
      </c>
      <c r="M69" s="10" t="str">
        <f>IFERROR(VLOOKUP($B69,[1]INV!$B$7:$H$2575,7,0),"")</f>
        <v/>
      </c>
      <c r="N69" s="10"/>
      <c r="O69" s="10"/>
      <c r="P69" s="10"/>
      <c r="Q69" s="10"/>
      <c r="R69" s="10"/>
      <c r="S69" s="10"/>
      <c r="T69" s="10"/>
      <c r="U69" s="1">
        <f t="shared" si="0"/>
        <v>0</v>
      </c>
      <c r="V69" s="1">
        <f t="shared" si="1"/>
        <v>0</v>
      </c>
      <c r="W69" s="1">
        <f t="shared" si="2"/>
        <v>0</v>
      </c>
      <c r="X69" s="1">
        <f t="shared" si="3"/>
        <v>0</v>
      </c>
    </row>
    <row r="70" spans="2:24" x14ac:dyDescent="0.25">
      <c r="B70" s="11">
        <f>[1]code!B67</f>
        <v>795</v>
      </c>
      <c r="C70" s="2" t="str">
        <f>[1]code!C67</f>
        <v>جبنة شيدر ابيض شرائح</v>
      </c>
      <c r="D70" s="2" t="str">
        <f>[1]code!D67</f>
        <v>مواد غذائية (باك ستريت)</v>
      </c>
      <c r="E70" s="1" t="str">
        <f>[1]code!E67</f>
        <v>كيلو</v>
      </c>
      <c r="F70" s="2" t="str">
        <f>[1]code!F67</f>
        <v>برايد</v>
      </c>
      <c r="G70" s="12">
        <f>[1]code!G67</f>
        <v>0</v>
      </c>
      <c r="I70" s="10">
        <v>0</v>
      </c>
      <c r="J70" s="10">
        <v>0</v>
      </c>
      <c r="K70" s="10">
        <v>0</v>
      </c>
      <c r="L70" s="10">
        <v>87.497749999999996</v>
      </c>
      <c r="M70" s="10" t="str">
        <f>IFERROR(VLOOKUP($B70,[1]INV!$B$7:$H$2575,7,0),"")</f>
        <v/>
      </c>
      <c r="N70" s="10"/>
      <c r="O70" s="10"/>
      <c r="P70" s="10"/>
      <c r="Q70" s="10"/>
      <c r="R70" s="10"/>
      <c r="S70" s="10"/>
      <c r="T70" s="10"/>
      <c r="U70" s="1">
        <f t="shared" si="0"/>
        <v>0</v>
      </c>
      <c r="V70" s="1">
        <f t="shared" si="1"/>
        <v>0</v>
      </c>
      <c r="W70" s="1">
        <f t="shared" si="2"/>
        <v>0</v>
      </c>
      <c r="X70" s="1">
        <f t="shared" si="3"/>
        <v>87.497749999999996</v>
      </c>
    </row>
    <row r="71" spans="2:24" x14ac:dyDescent="0.25">
      <c r="B71" s="11">
        <f>[1]code!B68</f>
        <v>806</v>
      </c>
      <c r="C71" s="2" t="str">
        <f>[1]code!C68</f>
        <v>شيدر اصفر شرايح</v>
      </c>
      <c r="D71" s="2" t="str">
        <f>[1]code!D68</f>
        <v>مواد غذائية (باك ستريت)</v>
      </c>
      <c r="E71" s="1" t="str">
        <f>[1]code!E68</f>
        <v>كيلو</v>
      </c>
      <c r="F71" s="2" t="str">
        <f>[1]code!F68</f>
        <v>برايد</v>
      </c>
      <c r="G71" s="12">
        <f>[1]code!G68</f>
        <v>0</v>
      </c>
      <c r="I71" s="10">
        <v>0</v>
      </c>
      <c r="J71" s="10">
        <v>0</v>
      </c>
      <c r="K71" s="10">
        <v>0</v>
      </c>
      <c r="L71" s="10">
        <v>0</v>
      </c>
      <c r="M71" s="10" t="str">
        <f>IFERROR(VLOOKUP($B71,[1]INV!$B$7:$H$2575,7,0),"")</f>
        <v/>
      </c>
      <c r="N71" s="10"/>
      <c r="O71" s="10"/>
      <c r="P71" s="10"/>
      <c r="Q71" s="10"/>
      <c r="R71" s="10"/>
      <c r="S71" s="10"/>
      <c r="T71" s="10"/>
      <c r="U71" s="1">
        <f t="shared" si="0"/>
        <v>0</v>
      </c>
      <c r="V71" s="1">
        <f t="shared" si="1"/>
        <v>0</v>
      </c>
      <c r="W71" s="1">
        <f t="shared" si="2"/>
        <v>0</v>
      </c>
      <c r="X71" s="1">
        <f t="shared" si="3"/>
        <v>0</v>
      </c>
    </row>
    <row r="72" spans="2:24" x14ac:dyDescent="0.25">
      <c r="B72" s="11">
        <f>[1]code!B69</f>
        <v>723</v>
      </c>
      <c r="C72" s="2" t="str">
        <f>[1]code!C69</f>
        <v>شرائح لوز</v>
      </c>
      <c r="D72" s="2" t="str">
        <f>[1]code!D69</f>
        <v>مواد غذائية (باك ستريت)</v>
      </c>
      <c r="E72" s="1" t="str">
        <f>[1]code!E69</f>
        <v>كيلو</v>
      </c>
      <c r="F72" s="2" t="str">
        <f>[1]code!F69</f>
        <v>الجميل</v>
      </c>
      <c r="G72" s="12">
        <f>[1]code!G69</f>
        <v>0</v>
      </c>
      <c r="I72" s="10">
        <v>0</v>
      </c>
      <c r="J72" s="10">
        <v>0</v>
      </c>
      <c r="K72" s="10">
        <v>0</v>
      </c>
      <c r="L72" s="10">
        <v>0</v>
      </c>
      <c r="M72" s="10" t="str">
        <f>IFERROR(VLOOKUP($B72,[1]INV!$B$7:$H$2575,7,0),"")</f>
        <v/>
      </c>
      <c r="N72" s="10"/>
      <c r="O72" s="10"/>
      <c r="P72" s="10"/>
      <c r="Q72" s="10"/>
      <c r="R72" s="10"/>
      <c r="S72" s="10"/>
      <c r="T72" s="10"/>
      <c r="U72" s="1">
        <f t="shared" ref="U72:U135" si="4">IF($I72="",$G72,$I72)</f>
        <v>0</v>
      </c>
      <c r="V72" s="1">
        <f t="shared" ref="V72:V135" si="5">IF($J72="",$I72,$J72)</f>
        <v>0</v>
      </c>
      <c r="W72" s="1">
        <f t="shared" ref="W72:W135" si="6">IF($K72="",$J72,$K72)</f>
        <v>0</v>
      </c>
      <c r="X72" s="1">
        <f t="shared" ref="X72:X135" si="7">IF($L72="",$K72,$L72)</f>
        <v>0</v>
      </c>
    </row>
    <row r="73" spans="2:24" x14ac:dyDescent="0.25">
      <c r="B73" s="11">
        <f>[1]code!B70</f>
        <v>721</v>
      </c>
      <c r="C73" s="2" t="str">
        <f>[1]code!C70</f>
        <v>عين جمل</v>
      </c>
      <c r="D73" s="2" t="str">
        <f>[1]code!D70</f>
        <v>مواد غذائية (باك ستريت)</v>
      </c>
      <c r="E73" s="1" t="str">
        <f>[1]code!E70</f>
        <v>كيلو</v>
      </c>
      <c r="F73" s="2" t="str">
        <f>[1]code!F70</f>
        <v>الجميل</v>
      </c>
      <c r="G73" s="12">
        <f>[1]code!G70</f>
        <v>0</v>
      </c>
      <c r="I73" s="10">
        <v>0</v>
      </c>
      <c r="J73" s="10">
        <v>0</v>
      </c>
      <c r="K73" s="10">
        <v>0</v>
      </c>
      <c r="L73" s="10">
        <v>0</v>
      </c>
      <c r="M73" s="10" t="str">
        <f>IFERROR(VLOOKUP($B73,[1]INV!$B$7:$H$2575,7,0),"")</f>
        <v/>
      </c>
      <c r="N73" s="10"/>
      <c r="O73" s="10"/>
      <c r="P73" s="10"/>
      <c r="Q73" s="10"/>
      <c r="R73" s="10"/>
      <c r="S73" s="10"/>
      <c r="T73" s="10"/>
      <c r="U73" s="1">
        <f t="shared" si="4"/>
        <v>0</v>
      </c>
      <c r="V73" s="1">
        <f t="shared" si="5"/>
        <v>0</v>
      </c>
      <c r="W73" s="1">
        <f t="shared" si="6"/>
        <v>0</v>
      </c>
      <c r="X73" s="1">
        <f t="shared" si="7"/>
        <v>0</v>
      </c>
    </row>
    <row r="74" spans="2:24" x14ac:dyDescent="0.25">
      <c r="B74" s="11">
        <f>[1]code!B71</f>
        <v>652</v>
      </c>
      <c r="C74" s="2" t="str">
        <f>[1]code!C71</f>
        <v xml:space="preserve">دبس رمان 0.750 جرام </v>
      </c>
      <c r="D74" s="2" t="str">
        <f>[1]code!D71</f>
        <v>مواد غذائية (باك ستريت)</v>
      </c>
      <c r="E74" s="1" t="str">
        <f>[1]code!E71</f>
        <v>لتر</v>
      </c>
      <c r="F74" s="2" t="str">
        <f>[1]code!F71</f>
        <v>نخالة القمح</v>
      </c>
      <c r="G74" s="12">
        <f>[1]code!G71</f>
        <v>25.76</v>
      </c>
      <c r="I74" s="10">
        <v>25.76</v>
      </c>
      <c r="J74" s="10">
        <v>25.76</v>
      </c>
      <c r="K74" s="10">
        <v>25.76</v>
      </c>
      <c r="L74" s="10">
        <v>25.76</v>
      </c>
      <c r="M74" s="10" t="str">
        <f>IFERROR(VLOOKUP($B74,[1]INV!$B$7:$H$2575,7,0),"")</f>
        <v/>
      </c>
      <c r="N74" s="10"/>
      <c r="O74" s="10"/>
      <c r="P74" s="10"/>
      <c r="Q74" s="10"/>
      <c r="R74" s="10"/>
      <c r="S74" s="10"/>
      <c r="T74" s="10"/>
      <c r="U74" s="1">
        <f t="shared" si="4"/>
        <v>25.76</v>
      </c>
      <c r="V74" s="1">
        <f t="shared" si="5"/>
        <v>25.76</v>
      </c>
      <c r="W74" s="1">
        <f t="shared" si="6"/>
        <v>25.76</v>
      </c>
      <c r="X74" s="1">
        <f t="shared" si="7"/>
        <v>25.76</v>
      </c>
    </row>
    <row r="75" spans="2:24" x14ac:dyDescent="0.25">
      <c r="B75" s="11">
        <f>[1]code!B72</f>
        <v>704</v>
      </c>
      <c r="C75" s="2" t="str">
        <f>[1]code!C72</f>
        <v>نبيز احمر 0.750 جرام</v>
      </c>
      <c r="D75" s="2" t="str">
        <f>[1]code!D72</f>
        <v>مواد غذائية (باك ستريت)</v>
      </c>
      <c r="E75" s="1" t="str">
        <f>[1]code!E72</f>
        <v>لتر</v>
      </c>
      <c r="F75" s="2" t="str">
        <f>[1]code!F72</f>
        <v>تموين الشرق - فريشلي</v>
      </c>
      <c r="G75" s="12">
        <f>[1]code!G72</f>
        <v>0</v>
      </c>
      <c r="I75" s="10">
        <v>0</v>
      </c>
      <c r="J75" s="10">
        <v>0</v>
      </c>
      <c r="K75" s="10">
        <v>0</v>
      </c>
      <c r="L75" s="10">
        <v>0</v>
      </c>
      <c r="M75" s="10" t="str">
        <f>IFERROR(VLOOKUP($B75,[1]INV!$B$7:$H$2575,7,0),"")</f>
        <v/>
      </c>
      <c r="N75" s="10"/>
      <c r="O75" s="10"/>
      <c r="P75" s="10"/>
      <c r="Q75" s="10"/>
      <c r="R75" s="10"/>
      <c r="S75" s="10"/>
      <c r="T75" s="10"/>
      <c r="U75" s="1">
        <f t="shared" si="4"/>
        <v>0</v>
      </c>
      <c r="V75" s="1">
        <f t="shared" si="5"/>
        <v>0</v>
      </c>
      <c r="W75" s="1">
        <f t="shared" si="6"/>
        <v>0</v>
      </c>
      <c r="X75" s="1">
        <f t="shared" si="7"/>
        <v>0</v>
      </c>
    </row>
    <row r="76" spans="2:24" x14ac:dyDescent="0.25">
      <c r="B76" s="11">
        <f>[1]code!B73</f>
        <v>769</v>
      </c>
      <c r="C76" s="2" t="str">
        <f>[1]code!C73</f>
        <v>باربيكيو صوص</v>
      </c>
      <c r="D76" s="2" t="str">
        <f>[1]code!D73</f>
        <v>مواد غذائية (باك ستريت)</v>
      </c>
      <c r="E76" s="1" t="str">
        <f>[1]code!E73</f>
        <v>كيلو</v>
      </c>
      <c r="F76" s="2" t="str">
        <f>[1]code!F73</f>
        <v>تموين الشرق - فريشلي</v>
      </c>
      <c r="G76" s="12">
        <f>[1]code!G73</f>
        <v>30.391049999999996</v>
      </c>
      <c r="I76" s="10">
        <v>30.391049999999996</v>
      </c>
      <c r="J76" s="10">
        <v>30.391049999999996</v>
      </c>
      <c r="K76" s="10">
        <v>30.382940195581643</v>
      </c>
      <c r="L76" s="10">
        <v>30.391049999999996</v>
      </c>
      <c r="M76" s="10" t="str">
        <f>IFERROR(VLOOKUP($B76,[1]INV!$B$7:$H$2575,7,0),"")</f>
        <v/>
      </c>
      <c r="N76" s="10"/>
      <c r="O76" s="10"/>
      <c r="P76" s="10"/>
      <c r="Q76" s="10"/>
      <c r="R76" s="10"/>
      <c r="S76" s="10"/>
      <c r="T76" s="10"/>
      <c r="U76" s="1">
        <f t="shared" si="4"/>
        <v>30.391049999999996</v>
      </c>
      <c r="V76" s="1">
        <f t="shared" si="5"/>
        <v>30.391049999999996</v>
      </c>
      <c r="W76" s="1">
        <f t="shared" si="6"/>
        <v>30.382940195581643</v>
      </c>
      <c r="X76" s="1">
        <f t="shared" si="7"/>
        <v>30.391049999999996</v>
      </c>
    </row>
    <row r="77" spans="2:24" x14ac:dyDescent="0.25">
      <c r="B77" s="11">
        <f>[1]code!B74</f>
        <v>706</v>
      </c>
      <c r="C77" s="2" t="str">
        <f>[1]code!C74</f>
        <v>خردل 32 اونز</v>
      </c>
      <c r="D77" s="2" t="str">
        <f>[1]code!D74</f>
        <v>مواد غذائية (باك ستريت)</v>
      </c>
      <c r="E77" s="1" t="str">
        <f>[1]code!E74</f>
        <v>كيلو</v>
      </c>
      <c r="F77" s="2" t="str">
        <f>[1]code!F74</f>
        <v>تموين الشرق - فريشلي</v>
      </c>
      <c r="G77" s="12">
        <f>[1]code!G74</f>
        <v>0</v>
      </c>
      <c r="I77" s="10">
        <v>0</v>
      </c>
      <c r="J77" s="10">
        <v>23.529</v>
      </c>
      <c r="K77" s="10">
        <v>23.529</v>
      </c>
      <c r="L77" s="10">
        <v>23.529</v>
      </c>
      <c r="M77" s="10" t="str">
        <f>IFERROR(VLOOKUP($B77,[1]INV!$B$7:$H$2575,7,0),"")</f>
        <v/>
      </c>
      <c r="N77" s="10"/>
      <c r="O77" s="10"/>
      <c r="P77" s="10"/>
      <c r="Q77" s="10"/>
      <c r="R77" s="10"/>
      <c r="S77" s="10"/>
      <c r="T77" s="10"/>
      <c r="U77" s="1">
        <f t="shared" si="4"/>
        <v>0</v>
      </c>
      <c r="V77" s="1">
        <f t="shared" si="5"/>
        <v>23.529</v>
      </c>
      <c r="W77" s="1">
        <f t="shared" si="6"/>
        <v>23.529</v>
      </c>
      <c r="X77" s="1">
        <f t="shared" si="7"/>
        <v>23.529</v>
      </c>
    </row>
    <row r="78" spans="2:24" x14ac:dyDescent="0.25">
      <c r="B78" s="11">
        <f>[1]code!B75</f>
        <v>798</v>
      </c>
      <c r="C78" s="2" t="str">
        <f>[1]code!C75</f>
        <v>ورشيستر</v>
      </c>
      <c r="D78" s="2" t="str">
        <f>[1]code!D75</f>
        <v>مواد غذائية (باك ستريت)</v>
      </c>
      <c r="E78" s="1" t="str">
        <f>[1]code!E75</f>
        <v>لتر</v>
      </c>
      <c r="F78" s="2" t="str">
        <f>[1]code!F75</f>
        <v>تموين الشرق - فريشلي</v>
      </c>
      <c r="G78" s="12">
        <f>[1]code!G75</f>
        <v>0</v>
      </c>
      <c r="I78" s="10">
        <v>0</v>
      </c>
      <c r="J78" s="10">
        <v>0</v>
      </c>
      <c r="K78" s="10">
        <v>0</v>
      </c>
      <c r="L78" s="10">
        <v>0</v>
      </c>
      <c r="M78" s="10" t="str">
        <f>IFERROR(VLOOKUP($B78,[1]INV!$B$7:$H$2575,7,0),"")</f>
        <v/>
      </c>
      <c r="N78" s="10"/>
      <c r="O78" s="10"/>
      <c r="P78" s="10"/>
      <c r="Q78" s="10"/>
      <c r="R78" s="10"/>
      <c r="S78" s="10"/>
      <c r="T78" s="10"/>
      <c r="U78" s="1">
        <f t="shared" si="4"/>
        <v>0</v>
      </c>
      <c r="V78" s="1">
        <f t="shared" si="5"/>
        <v>0</v>
      </c>
      <c r="W78" s="1">
        <f t="shared" si="6"/>
        <v>0</v>
      </c>
      <c r="X78" s="1">
        <f t="shared" si="7"/>
        <v>0</v>
      </c>
    </row>
    <row r="79" spans="2:24" x14ac:dyDescent="0.25">
      <c r="B79" s="11">
        <f>[1]code!B76</f>
        <v>720</v>
      </c>
      <c r="C79" s="2" t="str">
        <f>[1]code!C76</f>
        <v>طماطم صوص</v>
      </c>
      <c r="D79" s="2" t="str">
        <f>[1]code!D76</f>
        <v>مواد غذائية (باك ستريت)</v>
      </c>
      <c r="E79" s="1" t="str">
        <f>[1]code!E76</f>
        <v>كيلو</v>
      </c>
      <c r="F79" s="2" t="str">
        <f>[1]code!F76</f>
        <v>تموين الشرق - فريشلي</v>
      </c>
      <c r="G79" s="12">
        <f>[1]code!G76</f>
        <v>0</v>
      </c>
      <c r="I79" s="10">
        <v>0</v>
      </c>
      <c r="J79" s="10">
        <v>0</v>
      </c>
      <c r="K79" s="10">
        <v>0</v>
      </c>
      <c r="L79" s="10">
        <v>0</v>
      </c>
      <c r="M79" s="10" t="str">
        <f>IFERROR(VLOOKUP($B79,[1]INV!$B$7:$H$2575,7,0),"")</f>
        <v/>
      </c>
      <c r="N79" s="10"/>
      <c r="O79" s="10"/>
      <c r="P79" s="10"/>
      <c r="Q79" s="10"/>
      <c r="R79" s="10"/>
      <c r="S79" s="10"/>
      <c r="T79" s="10"/>
      <c r="U79" s="1">
        <f t="shared" si="4"/>
        <v>0</v>
      </c>
      <c r="V79" s="1">
        <f t="shared" si="5"/>
        <v>0</v>
      </c>
      <c r="W79" s="1">
        <f t="shared" si="6"/>
        <v>0</v>
      </c>
      <c r="X79" s="1">
        <f t="shared" si="7"/>
        <v>0</v>
      </c>
    </row>
    <row r="80" spans="2:24" x14ac:dyDescent="0.25">
      <c r="B80" s="11">
        <f>[1]code!B77</f>
        <v>727</v>
      </c>
      <c r="C80" s="2" t="str">
        <f>[1]code!C77</f>
        <v>شيدر صوص</v>
      </c>
      <c r="D80" s="2" t="str">
        <f>[1]code!D77</f>
        <v>مواد غذائية (باك ستريت)</v>
      </c>
      <c r="E80" s="1" t="str">
        <f>[1]code!E77</f>
        <v>كيلو</v>
      </c>
      <c r="F80" s="2" t="str">
        <f>[1]code!F77</f>
        <v>تموين الشرق - فريشلي</v>
      </c>
      <c r="G80" s="12">
        <f>[1]code!G77</f>
        <v>30.989000000000001</v>
      </c>
      <c r="I80" s="10">
        <v>0</v>
      </c>
      <c r="J80" s="10">
        <v>0</v>
      </c>
      <c r="K80" s="10">
        <v>0</v>
      </c>
      <c r="L80" s="10">
        <v>0</v>
      </c>
      <c r="M80" s="10">
        <f>IFERROR(VLOOKUP($B80,[1]INV!$B$7:$H$2575,7,0),"")</f>
        <v>30.989049999999995</v>
      </c>
      <c r="N80" s="10"/>
      <c r="O80" s="10"/>
      <c r="P80" s="10"/>
      <c r="Q80" s="10"/>
      <c r="R80" s="10"/>
      <c r="S80" s="10"/>
      <c r="T80" s="10"/>
      <c r="U80" s="1">
        <f t="shared" si="4"/>
        <v>0</v>
      </c>
      <c r="V80" s="1">
        <f t="shared" si="5"/>
        <v>0</v>
      </c>
      <c r="W80" s="1">
        <f t="shared" si="6"/>
        <v>0</v>
      </c>
      <c r="X80" s="1">
        <f t="shared" si="7"/>
        <v>0</v>
      </c>
    </row>
    <row r="81" spans="2:24" x14ac:dyDescent="0.25">
      <c r="B81" s="11">
        <f>[1]code!B78</f>
        <v>799</v>
      </c>
      <c r="C81" s="2" t="str">
        <f>[1]code!C78</f>
        <v>سويت شيلى صوص</v>
      </c>
      <c r="D81" s="2" t="str">
        <f>[1]code!D78</f>
        <v>مواد غذائية (باك ستريت)</v>
      </c>
      <c r="E81" s="1" t="str">
        <f>[1]code!E78</f>
        <v>لتر</v>
      </c>
      <c r="F81" s="2" t="str">
        <f>[1]code!F78</f>
        <v>تموين الشرق - فريشلي</v>
      </c>
      <c r="G81" s="12">
        <f>[1]code!G78</f>
        <v>0</v>
      </c>
      <c r="I81" s="10">
        <v>0</v>
      </c>
      <c r="J81" s="10">
        <v>0</v>
      </c>
      <c r="K81" s="10">
        <v>0</v>
      </c>
      <c r="L81" s="10">
        <v>0</v>
      </c>
      <c r="M81" s="10" t="str">
        <f>IFERROR(VLOOKUP($B81,[1]INV!$B$7:$H$2575,7,0),"")</f>
        <v/>
      </c>
      <c r="N81" s="10"/>
      <c r="O81" s="10"/>
      <c r="P81" s="10"/>
      <c r="Q81" s="10"/>
      <c r="R81" s="10"/>
      <c r="S81" s="10"/>
      <c r="T81" s="10"/>
      <c r="U81" s="1">
        <f t="shared" si="4"/>
        <v>0</v>
      </c>
      <c r="V81" s="1">
        <f t="shared" si="5"/>
        <v>0</v>
      </c>
      <c r="W81" s="1">
        <f t="shared" si="6"/>
        <v>0</v>
      </c>
      <c r="X81" s="1">
        <f t="shared" si="7"/>
        <v>0</v>
      </c>
    </row>
    <row r="82" spans="2:24" x14ac:dyDescent="0.25">
      <c r="B82" s="11">
        <f>[1]code!B79</f>
        <v>707</v>
      </c>
      <c r="C82" s="2" t="str">
        <f>[1]code!C79</f>
        <v>مايونيز جالون *3.78 كيلو</v>
      </c>
      <c r="D82" s="2" t="str">
        <f>[1]code!D79</f>
        <v>مواد غذائية (باك ستريت)</v>
      </c>
      <c r="E82" s="1" t="str">
        <f>[1]code!E79</f>
        <v>كيلو</v>
      </c>
      <c r="F82" s="2" t="str">
        <f>[1]code!F79</f>
        <v>تموين الشرق - فريشلي</v>
      </c>
      <c r="G82" s="12">
        <f>[1]code!G79</f>
        <v>28.011700000000001</v>
      </c>
      <c r="I82" s="10">
        <v>28.011700000000001</v>
      </c>
      <c r="J82" s="10">
        <v>28.011700000000001</v>
      </c>
      <c r="K82" s="10">
        <v>28.693793474088288</v>
      </c>
      <c r="L82" s="10">
        <v>28.693793474088288</v>
      </c>
      <c r="M82" s="10">
        <f>IFERROR(VLOOKUP($B82,[1]INV!$B$7:$H$2575,7,0),"")</f>
        <v>31.898699999999998</v>
      </c>
      <c r="N82" s="10"/>
      <c r="O82" s="10"/>
      <c r="P82" s="10"/>
      <c r="Q82" s="10"/>
      <c r="R82" s="10"/>
      <c r="S82" s="10"/>
      <c r="T82" s="10"/>
      <c r="U82" s="1">
        <f t="shared" si="4"/>
        <v>28.011700000000001</v>
      </c>
      <c r="V82" s="1">
        <f t="shared" si="5"/>
        <v>28.011700000000001</v>
      </c>
      <c r="W82" s="1">
        <f t="shared" si="6"/>
        <v>28.693793474088288</v>
      </c>
      <c r="X82" s="1">
        <f t="shared" si="7"/>
        <v>28.693793474088288</v>
      </c>
    </row>
    <row r="83" spans="2:24" x14ac:dyDescent="0.25">
      <c r="B83" s="11">
        <f>[1]code!B80</f>
        <v>724</v>
      </c>
      <c r="C83" s="2" t="str">
        <f>[1]code!C80</f>
        <v xml:space="preserve">بافلو صوص </v>
      </c>
      <c r="D83" s="2" t="str">
        <f>[1]code!D80</f>
        <v>مواد غذائية (باك ستريت)</v>
      </c>
      <c r="E83" s="1" t="str">
        <f>[1]code!E80</f>
        <v>لتر</v>
      </c>
      <c r="F83" s="2" t="str">
        <f>[1]code!F80</f>
        <v>تموين الشرق - فريشلي</v>
      </c>
      <c r="G83" s="12">
        <f>[1]code!G80</f>
        <v>0</v>
      </c>
      <c r="I83" s="10">
        <v>0</v>
      </c>
      <c r="J83" s="10">
        <v>0</v>
      </c>
      <c r="K83" s="10">
        <v>0</v>
      </c>
      <c r="L83" s="10">
        <v>0</v>
      </c>
      <c r="M83" s="10" t="str">
        <f>IFERROR(VLOOKUP($B83,[1]INV!$B$7:$H$2575,7,0),"")</f>
        <v/>
      </c>
      <c r="N83" s="10"/>
      <c r="O83" s="10"/>
      <c r="P83" s="10"/>
      <c r="Q83" s="10"/>
      <c r="R83" s="10"/>
      <c r="S83" s="10"/>
      <c r="T83" s="10"/>
      <c r="U83" s="1">
        <f t="shared" si="4"/>
        <v>0</v>
      </c>
      <c r="V83" s="1">
        <f t="shared" si="5"/>
        <v>0</v>
      </c>
      <c r="W83" s="1">
        <f t="shared" si="6"/>
        <v>0</v>
      </c>
      <c r="X83" s="1">
        <f t="shared" si="7"/>
        <v>0</v>
      </c>
    </row>
    <row r="84" spans="2:24" x14ac:dyDescent="0.25">
      <c r="B84" s="11">
        <f>[1]code!B81</f>
        <v>705</v>
      </c>
      <c r="C84" s="2" t="str">
        <f>[1]code!C81</f>
        <v>كاتشب جالون *1.8 كيلو</v>
      </c>
      <c r="D84" s="2" t="str">
        <f>[1]code!D81</f>
        <v>مواد غذائية (باك ستريت)</v>
      </c>
      <c r="E84" s="1" t="str">
        <f>[1]code!E81</f>
        <v>كيلو</v>
      </c>
      <c r="F84" s="2" t="str">
        <f>[1]code!F81</f>
        <v>تموين الشرق - فريشلي</v>
      </c>
      <c r="G84" s="12">
        <f>[1]code!G81</f>
        <v>0</v>
      </c>
      <c r="I84" s="10">
        <v>0</v>
      </c>
      <c r="J84" s="10">
        <v>0</v>
      </c>
      <c r="K84" s="10">
        <v>0</v>
      </c>
      <c r="L84" s="10">
        <v>0</v>
      </c>
      <c r="M84" s="10" t="str">
        <f>IFERROR(VLOOKUP($B84,[1]INV!$B$7:$H$2575,7,0),"")</f>
        <v/>
      </c>
      <c r="N84" s="10"/>
      <c r="O84" s="10"/>
      <c r="P84" s="10"/>
      <c r="Q84" s="10"/>
      <c r="R84" s="10"/>
      <c r="S84" s="10"/>
      <c r="T84" s="10"/>
      <c r="U84" s="1">
        <f t="shared" si="4"/>
        <v>0</v>
      </c>
      <c r="V84" s="1">
        <f t="shared" si="5"/>
        <v>0</v>
      </c>
      <c r="W84" s="1">
        <f t="shared" si="6"/>
        <v>0</v>
      </c>
      <c r="X84" s="1">
        <f t="shared" si="7"/>
        <v>0</v>
      </c>
    </row>
    <row r="85" spans="2:24" x14ac:dyDescent="0.25">
      <c r="B85" s="11">
        <f>[1]code!B82</f>
        <v>800</v>
      </c>
      <c r="C85" s="2" t="str">
        <f>[1]code!C82</f>
        <v>صويا صوص</v>
      </c>
      <c r="D85" s="2" t="str">
        <f>[1]code!D82</f>
        <v>مواد غذائية (باك ستريت)</v>
      </c>
      <c r="E85" s="1" t="str">
        <f>[1]code!E82</f>
        <v>لتر</v>
      </c>
      <c r="F85" s="2" t="str">
        <f>[1]code!F82</f>
        <v>العربية</v>
      </c>
      <c r="G85" s="12">
        <f>[1]code!G82</f>
        <v>0</v>
      </c>
      <c r="I85" s="10">
        <v>0</v>
      </c>
      <c r="J85" s="10">
        <v>0</v>
      </c>
      <c r="K85" s="10">
        <v>0</v>
      </c>
      <c r="L85" s="10">
        <v>0</v>
      </c>
      <c r="M85" s="10" t="str">
        <f>IFERROR(VLOOKUP($B85,[1]INV!$B$7:$H$2575,7,0),"")</f>
        <v/>
      </c>
      <c r="N85" s="10"/>
      <c r="O85" s="10"/>
      <c r="P85" s="10"/>
      <c r="Q85" s="10"/>
      <c r="R85" s="10"/>
      <c r="S85" s="10"/>
      <c r="T85" s="10"/>
      <c r="U85" s="1">
        <f t="shared" si="4"/>
        <v>0</v>
      </c>
      <c r="V85" s="1">
        <f t="shared" si="5"/>
        <v>0</v>
      </c>
      <c r="W85" s="1">
        <f t="shared" si="6"/>
        <v>0</v>
      </c>
      <c r="X85" s="1">
        <f t="shared" si="7"/>
        <v>0</v>
      </c>
    </row>
    <row r="86" spans="2:24" x14ac:dyDescent="0.25">
      <c r="B86" s="11">
        <f>[1]code!B83</f>
        <v>713</v>
      </c>
      <c r="C86" s="2" t="str">
        <f>[1]code!C83</f>
        <v>ترافل صوص</v>
      </c>
      <c r="D86" s="2" t="str">
        <f>[1]code!D83</f>
        <v>مواد غذائية (باك ستريت)</v>
      </c>
      <c r="E86" s="1" t="str">
        <f>[1]code!E83</f>
        <v>كيلو</v>
      </c>
      <c r="F86" s="2" t="str">
        <f>[1]code!F83</f>
        <v>العربية</v>
      </c>
      <c r="G86" s="12">
        <f>[1]code!G83</f>
        <v>316.25</v>
      </c>
      <c r="I86" s="10">
        <v>0</v>
      </c>
      <c r="J86" s="10">
        <v>0</v>
      </c>
      <c r="K86" s="10">
        <v>0</v>
      </c>
      <c r="L86" s="10">
        <v>0</v>
      </c>
      <c r="M86" s="10">
        <f>IFERROR(VLOOKUP($B86,[1]INV!$B$7:$H$2575,7,0),"")</f>
        <v>316.25</v>
      </c>
      <c r="N86" s="10"/>
      <c r="O86" s="10"/>
      <c r="P86" s="10"/>
      <c r="Q86" s="10"/>
      <c r="R86" s="10"/>
      <c r="S86" s="10"/>
      <c r="T86" s="10"/>
      <c r="U86" s="1">
        <f t="shared" si="4"/>
        <v>0</v>
      </c>
      <c r="V86" s="1">
        <f t="shared" si="5"/>
        <v>0</v>
      </c>
      <c r="W86" s="1">
        <f t="shared" si="6"/>
        <v>0</v>
      </c>
      <c r="X86" s="1">
        <f t="shared" si="7"/>
        <v>0</v>
      </c>
    </row>
    <row r="87" spans="2:24" x14ac:dyDescent="0.25">
      <c r="B87" s="11">
        <f>[1]code!B84</f>
        <v>686</v>
      </c>
      <c r="C87" s="2" t="str">
        <f>[1]code!C84</f>
        <v>كرياكى صوص</v>
      </c>
      <c r="D87" s="2" t="str">
        <f>[1]code!D84</f>
        <v>مواد غذائية (باك ستريت)</v>
      </c>
      <c r="E87" s="1" t="str">
        <f>[1]code!E84</f>
        <v>لتر</v>
      </c>
      <c r="F87" s="2" t="str">
        <f>[1]code!F84</f>
        <v>تموين الشرق - فريشلي</v>
      </c>
      <c r="G87" s="12">
        <f>[1]code!G84</f>
        <v>0</v>
      </c>
      <c r="I87" s="10">
        <v>0</v>
      </c>
      <c r="J87" s="10">
        <v>0</v>
      </c>
      <c r="K87" s="10">
        <v>0</v>
      </c>
      <c r="L87" s="10">
        <v>0</v>
      </c>
      <c r="M87" s="10" t="str">
        <f>IFERROR(VLOOKUP($B87,[1]INV!$B$7:$H$2575,7,0),"")</f>
        <v/>
      </c>
      <c r="N87" s="10"/>
      <c r="O87" s="10"/>
      <c r="P87" s="10"/>
      <c r="Q87" s="10"/>
      <c r="R87" s="10"/>
      <c r="S87" s="10"/>
      <c r="T87" s="10"/>
      <c r="U87" s="1">
        <f t="shared" si="4"/>
        <v>0</v>
      </c>
      <c r="V87" s="1">
        <f t="shared" si="5"/>
        <v>0</v>
      </c>
      <c r="W87" s="1">
        <f t="shared" si="6"/>
        <v>0</v>
      </c>
      <c r="X87" s="1">
        <f t="shared" si="7"/>
        <v>0</v>
      </c>
    </row>
    <row r="88" spans="2:24" x14ac:dyDescent="0.25">
      <c r="B88" s="11">
        <f>[1]code!B85</f>
        <v>801</v>
      </c>
      <c r="C88" s="2" t="str">
        <f>[1]code!C85</f>
        <v>محسن انرجي</v>
      </c>
      <c r="D88" s="2" t="str">
        <f>[1]code!D85</f>
        <v>مواد غذائية (باك ستريت)</v>
      </c>
      <c r="E88" s="1" t="str">
        <f>[1]code!E85</f>
        <v>حبة</v>
      </c>
      <c r="F88" s="2" t="str">
        <f>[1]code!F85</f>
        <v>مشتريات مباشرة</v>
      </c>
      <c r="G88" s="12">
        <f>[1]code!G85</f>
        <v>59.78</v>
      </c>
      <c r="I88" s="10">
        <v>59.78</v>
      </c>
      <c r="J88" s="10">
        <v>59.78</v>
      </c>
      <c r="K88" s="10">
        <v>59.800000000000004</v>
      </c>
      <c r="L88" s="10">
        <v>59.800000000000004</v>
      </c>
      <c r="M88" s="10">
        <f>IFERROR(VLOOKUP($B88,[1]INV!$B$7:$H$2575,7,0),"")</f>
        <v>59.8</v>
      </c>
      <c r="N88" s="10"/>
      <c r="O88" s="10"/>
      <c r="P88" s="10"/>
      <c r="Q88" s="10"/>
      <c r="R88" s="10"/>
      <c r="S88" s="10"/>
      <c r="T88" s="10"/>
      <c r="U88" s="1">
        <f t="shared" si="4"/>
        <v>59.78</v>
      </c>
      <c r="V88" s="1">
        <f t="shared" si="5"/>
        <v>59.78</v>
      </c>
      <c r="W88" s="1">
        <f t="shared" si="6"/>
        <v>59.800000000000004</v>
      </c>
      <c r="X88" s="1">
        <f t="shared" si="7"/>
        <v>59.800000000000004</v>
      </c>
    </row>
    <row r="89" spans="2:24" x14ac:dyDescent="0.25">
      <c r="B89" s="11">
        <f>[1]code!B86</f>
        <v>729</v>
      </c>
      <c r="C89" s="2" t="str">
        <f>[1]code!C86</f>
        <v>تمر هندى خام</v>
      </c>
      <c r="D89" s="2" t="str">
        <f>[1]code!D86</f>
        <v>مواد غذائية (باك ستريت)</v>
      </c>
      <c r="E89" s="1" t="str">
        <f>[1]code!E86</f>
        <v>كيلو</v>
      </c>
      <c r="F89" s="2" t="str">
        <f>[1]code!F86</f>
        <v>تموين الشرق - فريشلي</v>
      </c>
      <c r="G89" s="12">
        <f>[1]code!G86</f>
        <v>0</v>
      </c>
      <c r="I89" s="10">
        <v>0</v>
      </c>
      <c r="J89" s="10">
        <v>0</v>
      </c>
      <c r="K89" s="10">
        <v>0</v>
      </c>
      <c r="L89" s="10">
        <v>0</v>
      </c>
      <c r="M89" s="10" t="str">
        <f>IFERROR(VLOOKUP($B89,[1]INV!$B$7:$H$2575,7,0),"")</f>
        <v/>
      </c>
      <c r="N89" s="10"/>
      <c r="O89" s="10"/>
      <c r="P89" s="10"/>
      <c r="Q89" s="10"/>
      <c r="R89" s="10"/>
      <c r="S89" s="10"/>
      <c r="T89" s="10"/>
      <c r="U89" s="1">
        <f t="shared" si="4"/>
        <v>0</v>
      </c>
      <c r="V89" s="1">
        <f t="shared" si="5"/>
        <v>0</v>
      </c>
      <c r="W89" s="1">
        <f t="shared" si="6"/>
        <v>0</v>
      </c>
      <c r="X89" s="1">
        <f t="shared" si="7"/>
        <v>0</v>
      </c>
    </row>
    <row r="90" spans="2:24" x14ac:dyDescent="0.25">
      <c r="B90" s="11">
        <f>[1]code!B87</f>
        <v>691</v>
      </c>
      <c r="C90" s="2" t="str">
        <f>[1]code!C87</f>
        <v>شوفان</v>
      </c>
      <c r="D90" s="2" t="str">
        <f>[1]code!D87</f>
        <v>مواد غذائية (باك ستريت)</v>
      </c>
      <c r="E90" s="1" t="str">
        <f>[1]code!E87</f>
        <v>كيلو</v>
      </c>
      <c r="F90" s="2" t="str">
        <f>[1]code!F87</f>
        <v>مشتريات مباشرة</v>
      </c>
      <c r="G90" s="12">
        <f>[1]code!G87</f>
        <v>0</v>
      </c>
      <c r="I90" s="10">
        <v>0</v>
      </c>
      <c r="J90" s="10">
        <v>0</v>
      </c>
      <c r="K90" s="10">
        <v>0</v>
      </c>
      <c r="L90" s="10">
        <v>0</v>
      </c>
      <c r="M90" s="10" t="str">
        <f>IFERROR(VLOOKUP($B90,[1]INV!$B$7:$H$2575,7,0),"")</f>
        <v/>
      </c>
      <c r="N90" s="10"/>
      <c r="O90" s="10"/>
      <c r="P90" s="10"/>
      <c r="Q90" s="10"/>
      <c r="R90" s="10"/>
      <c r="S90" s="10"/>
      <c r="T90" s="10"/>
      <c r="U90" s="1">
        <f t="shared" si="4"/>
        <v>0</v>
      </c>
      <c r="V90" s="1">
        <f t="shared" si="5"/>
        <v>0</v>
      </c>
      <c r="W90" s="1">
        <f t="shared" si="6"/>
        <v>0</v>
      </c>
      <c r="X90" s="1">
        <f t="shared" si="7"/>
        <v>0</v>
      </c>
    </row>
    <row r="91" spans="2:24" x14ac:dyDescent="0.25">
      <c r="B91" s="11">
        <f>[1]code!B88</f>
        <v>702</v>
      </c>
      <c r="C91" s="2" t="str">
        <f>[1]code!C88</f>
        <v>فلفل هالبينو</v>
      </c>
      <c r="D91" s="2" t="str">
        <f>[1]code!D88</f>
        <v>مواد غذائية (باك ستريت)</v>
      </c>
      <c r="E91" s="1" t="str">
        <f>[1]code!E88</f>
        <v>كيلو</v>
      </c>
      <c r="F91" s="2" t="str">
        <f>[1]code!F88</f>
        <v>تموين الشرق - فريشلي</v>
      </c>
      <c r="G91" s="12">
        <f>[1]code!G88</f>
        <v>0</v>
      </c>
      <c r="I91" s="10">
        <v>0</v>
      </c>
      <c r="J91" s="10">
        <v>0</v>
      </c>
      <c r="K91" s="10">
        <v>0</v>
      </c>
      <c r="L91" s="10">
        <v>0</v>
      </c>
      <c r="M91" s="10" t="str">
        <f>IFERROR(VLOOKUP($B91,[1]INV!$B$7:$H$2575,7,0),"")</f>
        <v/>
      </c>
      <c r="N91" s="10"/>
      <c r="O91" s="10"/>
      <c r="P91" s="10"/>
      <c r="Q91" s="10"/>
      <c r="R91" s="10"/>
      <c r="S91" s="10"/>
      <c r="T91" s="10"/>
      <c r="U91" s="1">
        <f t="shared" si="4"/>
        <v>0</v>
      </c>
      <c r="V91" s="1">
        <f t="shared" si="5"/>
        <v>0</v>
      </c>
      <c r="W91" s="1">
        <f t="shared" si="6"/>
        <v>0</v>
      </c>
      <c r="X91" s="1">
        <f t="shared" si="7"/>
        <v>0</v>
      </c>
    </row>
    <row r="92" spans="2:24" x14ac:dyDescent="0.25">
      <c r="B92" s="11">
        <f>[1]code!B89</f>
        <v>662</v>
      </c>
      <c r="C92" s="2" t="str">
        <f>[1]code!C89</f>
        <v>كورن فليكس</v>
      </c>
      <c r="D92" s="2" t="str">
        <f>[1]code!D89</f>
        <v>مواد غذائية (باك ستريت)</v>
      </c>
      <c r="E92" s="1" t="str">
        <f>[1]code!E89</f>
        <v>كيلو</v>
      </c>
      <c r="F92" s="2" t="str">
        <f>[1]code!F89</f>
        <v>مشتريات مباشرة</v>
      </c>
      <c r="G92" s="12">
        <f>[1]code!G89</f>
        <v>0</v>
      </c>
      <c r="I92" s="10">
        <v>0</v>
      </c>
      <c r="J92" s="10">
        <v>0</v>
      </c>
      <c r="K92" s="10">
        <v>0</v>
      </c>
      <c r="L92" s="10">
        <v>0</v>
      </c>
      <c r="M92" s="10" t="str">
        <f>IFERROR(VLOOKUP($B92,[1]INV!$B$7:$H$2575,7,0),"")</f>
        <v/>
      </c>
      <c r="N92" s="10"/>
      <c r="O92" s="10"/>
      <c r="P92" s="10"/>
      <c r="Q92" s="10"/>
      <c r="R92" s="10"/>
      <c r="S92" s="10"/>
      <c r="T92" s="10"/>
      <c r="U92" s="1">
        <f t="shared" si="4"/>
        <v>0</v>
      </c>
      <c r="V92" s="1">
        <f t="shared" si="5"/>
        <v>0</v>
      </c>
      <c r="W92" s="1">
        <f t="shared" si="6"/>
        <v>0</v>
      </c>
      <c r="X92" s="1">
        <f t="shared" si="7"/>
        <v>0</v>
      </c>
    </row>
    <row r="93" spans="2:24" x14ac:dyDescent="0.25">
      <c r="B93" s="11">
        <f>[1]code!B90</f>
        <v>714</v>
      </c>
      <c r="C93" s="2" t="str">
        <f>[1]code!C90</f>
        <v>أرز ريزونو</v>
      </c>
      <c r="D93" s="2" t="str">
        <f>[1]code!D90</f>
        <v>مواد غذائية (باك ستريت)</v>
      </c>
      <c r="E93" s="1" t="str">
        <f>[1]code!E90</f>
        <v>كيلو</v>
      </c>
      <c r="F93" s="2" t="str">
        <f>[1]code!F90</f>
        <v>العربية</v>
      </c>
      <c r="G93" s="12">
        <f>[1]code!G90</f>
        <v>0</v>
      </c>
      <c r="I93" s="10">
        <v>0</v>
      </c>
      <c r="J93" s="10">
        <v>0</v>
      </c>
      <c r="K93" s="10">
        <v>0</v>
      </c>
      <c r="L93" s="10">
        <v>0</v>
      </c>
      <c r="M93" s="10" t="str">
        <f>IFERROR(VLOOKUP($B93,[1]INV!$B$7:$H$2575,7,0),"")</f>
        <v/>
      </c>
      <c r="N93" s="10"/>
      <c r="O93" s="10"/>
      <c r="P93" s="10"/>
      <c r="Q93" s="10"/>
      <c r="R93" s="10"/>
      <c r="S93" s="10"/>
      <c r="T93" s="10"/>
      <c r="U93" s="1">
        <f t="shared" si="4"/>
        <v>0</v>
      </c>
      <c r="V93" s="1">
        <f t="shared" si="5"/>
        <v>0</v>
      </c>
      <c r="W93" s="1">
        <f t="shared" si="6"/>
        <v>0</v>
      </c>
      <c r="X93" s="1">
        <f t="shared" si="7"/>
        <v>0</v>
      </c>
    </row>
    <row r="94" spans="2:24" x14ac:dyDescent="0.25">
      <c r="B94" s="11">
        <f>[1]code!B91</f>
        <v>703</v>
      </c>
      <c r="C94" s="2" t="str">
        <f>[1]code!C91</f>
        <v>خل ابيض</v>
      </c>
      <c r="D94" s="2" t="str">
        <f>[1]code!D91</f>
        <v>مواد غذائية (باك ستريت)</v>
      </c>
      <c r="E94" s="1" t="str">
        <f>[1]code!E91</f>
        <v>لتر</v>
      </c>
      <c r="F94" s="2" t="str">
        <f>[1]code!F91</f>
        <v>تموين الشرق - فريشلي</v>
      </c>
      <c r="G94" s="12">
        <f>[1]code!G91</f>
        <v>0</v>
      </c>
      <c r="I94" s="10">
        <v>0</v>
      </c>
      <c r="J94" s="10">
        <v>0</v>
      </c>
      <c r="K94" s="10">
        <v>0</v>
      </c>
      <c r="L94" s="10">
        <v>0</v>
      </c>
      <c r="M94" s="10" t="str">
        <f>IFERROR(VLOOKUP($B94,[1]INV!$B$7:$H$2575,7,0),"")</f>
        <v/>
      </c>
      <c r="N94" s="10"/>
      <c r="O94" s="10"/>
      <c r="P94" s="10"/>
      <c r="Q94" s="10"/>
      <c r="R94" s="10"/>
      <c r="S94" s="10"/>
      <c r="T94" s="10"/>
      <c r="U94" s="1">
        <f t="shared" si="4"/>
        <v>0</v>
      </c>
      <c r="V94" s="1">
        <f t="shared" si="5"/>
        <v>0</v>
      </c>
      <c r="W94" s="1">
        <f t="shared" si="6"/>
        <v>0</v>
      </c>
      <c r="X94" s="1">
        <f t="shared" si="7"/>
        <v>0</v>
      </c>
    </row>
    <row r="95" spans="2:24" x14ac:dyDescent="0.25">
      <c r="B95" s="11">
        <f>[1]code!B92</f>
        <v>632</v>
      </c>
      <c r="C95" s="2" t="str">
        <f>[1]code!C92</f>
        <v>ملح ليمون</v>
      </c>
      <c r="D95" s="2" t="str">
        <f>[1]code!D92</f>
        <v>مواد غذائية (باك ستريت)</v>
      </c>
      <c r="E95" s="1" t="str">
        <f>[1]code!E92</f>
        <v>كيلو</v>
      </c>
      <c r="F95" s="2" t="str">
        <f>[1]code!F92</f>
        <v>مشتريات مباشرة</v>
      </c>
      <c r="G95" s="12">
        <f>[1]code!G92</f>
        <v>0</v>
      </c>
      <c r="I95" s="10">
        <v>0</v>
      </c>
      <c r="J95" s="10">
        <v>0</v>
      </c>
      <c r="K95" s="10">
        <v>0</v>
      </c>
      <c r="L95" s="10">
        <v>0</v>
      </c>
      <c r="M95" s="10" t="str">
        <f>IFERROR(VLOOKUP($B95,[1]INV!$B$7:$H$2575,7,0),"")</f>
        <v/>
      </c>
      <c r="N95" s="10"/>
      <c r="O95" s="10"/>
      <c r="P95" s="10"/>
      <c r="Q95" s="10"/>
      <c r="R95" s="10"/>
      <c r="S95" s="10"/>
      <c r="T95" s="10"/>
      <c r="U95" s="1">
        <f t="shared" si="4"/>
        <v>0</v>
      </c>
      <c r="V95" s="1">
        <f t="shared" si="5"/>
        <v>0</v>
      </c>
      <c r="W95" s="1">
        <f t="shared" si="6"/>
        <v>0</v>
      </c>
      <c r="X95" s="1">
        <f t="shared" si="7"/>
        <v>0</v>
      </c>
    </row>
    <row r="96" spans="2:24" x14ac:dyDescent="0.25">
      <c r="B96" s="11">
        <f>[1]code!B93</f>
        <v>852</v>
      </c>
      <c r="C96" s="2" t="str">
        <f>[1]code!C93</f>
        <v>خيار مخلل (شبت)</v>
      </c>
      <c r="D96" s="2" t="str">
        <f>[1]code!D93</f>
        <v>مواد غذائية (باك ستريت)</v>
      </c>
      <c r="E96" s="1" t="str">
        <f>[1]code!E93</f>
        <v>كيلو</v>
      </c>
      <c r="F96" s="2" t="str">
        <f>[1]code!F93</f>
        <v>تموين الشرق - فريشلي</v>
      </c>
      <c r="G96" s="12">
        <f>[1]code!G93</f>
        <v>0</v>
      </c>
      <c r="I96" s="10">
        <v>0</v>
      </c>
      <c r="J96" s="10">
        <v>0</v>
      </c>
      <c r="K96" s="10">
        <v>0</v>
      </c>
      <c r="L96" s="10">
        <v>0</v>
      </c>
      <c r="M96" s="10" t="str">
        <f>IFERROR(VLOOKUP($B96,[1]INV!$B$7:$H$2575,7,0),"")</f>
        <v/>
      </c>
      <c r="N96" s="10"/>
      <c r="O96" s="10"/>
      <c r="P96" s="10"/>
      <c r="Q96" s="10"/>
      <c r="R96" s="10"/>
      <c r="S96" s="10"/>
      <c r="T96" s="10"/>
      <c r="U96" s="1">
        <f t="shared" si="4"/>
        <v>0</v>
      </c>
      <c r="V96" s="1">
        <f t="shared" si="5"/>
        <v>0</v>
      </c>
      <c r="W96" s="1">
        <f t="shared" si="6"/>
        <v>0</v>
      </c>
      <c r="X96" s="1">
        <f t="shared" si="7"/>
        <v>0</v>
      </c>
    </row>
    <row r="97" spans="2:24" x14ac:dyDescent="0.25">
      <c r="B97" s="11">
        <f>[1]code!B94</f>
        <v>687</v>
      </c>
      <c r="C97" s="2" t="str">
        <f>[1]code!C94</f>
        <v>ملون طعام</v>
      </c>
      <c r="D97" s="2" t="str">
        <f>[1]code!D94</f>
        <v>مواد غذائية (باك ستريت)</v>
      </c>
      <c r="E97" s="1" t="str">
        <f>[1]code!E94</f>
        <v>كيلو</v>
      </c>
      <c r="F97" s="2" t="str">
        <f>[1]code!F94</f>
        <v>مشتريات مباشرة</v>
      </c>
      <c r="G97" s="12">
        <f>[1]code!G94</f>
        <v>0</v>
      </c>
      <c r="I97" s="10">
        <v>0</v>
      </c>
      <c r="J97" s="10">
        <v>0</v>
      </c>
      <c r="K97" s="10">
        <v>0</v>
      </c>
      <c r="L97" s="10">
        <v>0</v>
      </c>
      <c r="M97" s="10" t="str">
        <f>IFERROR(VLOOKUP($B97,[1]INV!$B$7:$H$2575,7,0),"")</f>
        <v/>
      </c>
      <c r="N97" s="10"/>
      <c r="O97" s="10"/>
      <c r="P97" s="10"/>
      <c r="Q97" s="10"/>
      <c r="R97" s="10"/>
      <c r="S97" s="10"/>
      <c r="T97" s="10"/>
      <c r="U97" s="1">
        <f t="shared" si="4"/>
        <v>0</v>
      </c>
      <c r="V97" s="1">
        <f t="shared" si="5"/>
        <v>0</v>
      </c>
      <c r="W97" s="1">
        <f t="shared" si="6"/>
        <v>0</v>
      </c>
      <c r="X97" s="1">
        <f t="shared" si="7"/>
        <v>0</v>
      </c>
    </row>
    <row r="98" spans="2:24" x14ac:dyDescent="0.25">
      <c r="B98" s="11">
        <f>[1]code!B95</f>
        <v>780</v>
      </c>
      <c r="C98" s="2" t="str">
        <f>[1]code!C95</f>
        <v>مرين</v>
      </c>
      <c r="D98" s="2" t="str">
        <f>[1]code!D95</f>
        <v>مواد غذائية (باك ستريت)</v>
      </c>
      <c r="E98" s="1" t="str">
        <f>[1]code!E95</f>
        <v>كيلو</v>
      </c>
      <c r="F98" s="2" t="str">
        <f>[1]code!F95</f>
        <v>العربية</v>
      </c>
      <c r="G98" s="12">
        <f>[1]code!G95</f>
        <v>0</v>
      </c>
      <c r="I98" s="10">
        <v>0</v>
      </c>
      <c r="J98" s="10">
        <v>0</v>
      </c>
      <c r="K98" s="10">
        <v>0</v>
      </c>
      <c r="L98" s="10">
        <v>0</v>
      </c>
      <c r="M98" s="10" t="str">
        <f>IFERROR(VLOOKUP($B98,[1]INV!$B$7:$H$2575,7,0),"")</f>
        <v/>
      </c>
      <c r="N98" s="10"/>
      <c r="O98" s="10"/>
      <c r="P98" s="10"/>
      <c r="Q98" s="10"/>
      <c r="R98" s="10"/>
      <c r="S98" s="10"/>
      <c r="T98" s="10"/>
      <c r="U98" s="1">
        <f t="shared" si="4"/>
        <v>0</v>
      </c>
      <c r="V98" s="1">
        <f t="shared" si="5"/>
        <v>0</v>
      </c>
      <c r="W98" s="1">
        <f t="shared" si="6"/>
        <v>0</v>
      </c>
      <c r="X98" s="1">
        <f t="shared" si="7"/>
        <v>0</v>
      </c>
    </row>
    <row r="99" spans="2:24" x14ac:dyDescent="0.25">
      <c r="B99" s="11">
        <f>[1]code!B96</f>
        <v>667</v>
      </c>
      <c r="C99" s="2" t="str">
        <f>[1]code!C96</f>
        <v>بانكو (ببقسماط)</v>
      </c>
      <c r="D99" s="2" t="str">
        <f>[1]code!D96</f>
        <v>مواد غذائية (باك ستريت)</v>
      </c>
      <c r="E99" s="1" t="str">
        <f>[1]code!E96</f>
        <v>كيلو</v>
      </c>
      <c r="F99" s="2" t="str">
        <f>[1]code!F96</f>
        <v>مشتريات مباشرة</v>
      </c>
      <c r="G99" s="12">
        <f>[1]code!G96</f>
        <v>9.9981000000000009</v>
      </c>
      <c r="I99" s="10">
        <v>9.9981000000000009</v>
      </c>
      <c r="J99" s="10">
        <v>9.9981000000000009</v>
      </c>
      <c r="K99" s="10">
        <v>9.9981000000000009</v>
      </c>
      <c r="L99" s="10">
        <v>9.9981000000000009</v>
      </c>
      <c r="M99" s="10" t="str">
        <f>IFERROR(VLOOKUP($B99,[1]INV!$B$7:$H$2575,7,0),"")</f>
        <v/>
      </c>
      <c r="N99" s="10"/>
      <c r="O99" s="10"/>
      <c r="P99" s="10"/>
      <c r="Q99" s="10"/>
      <c r="R99" s="10"/>
      <c r="S99" s="10"/>
      <c r="T99" s="10"/>
      <c r="U99" s="1">
        <f t="shared" si="4"/>
        <v>9.9981000000000009</v>
      </c>
      <c r="V99" s="1">
        <f t="shared" si="5"/>
        <v>9.9981000000000009</v>
      </c>
      <c r="W99" s="1">
        <f t="shared" si="6"/>
        <v>9.9981000000000009</v>
      </c>
      <c r="X99" s="1">
        <f t="shared" si="7"/>
        <v>9.9981000000000009</v>
      </c>
    </row>
    <row r="100" spans="2:24" x14ac:dyDescent="0.25">
      <c r="B100" s="11">
        <f>[1]code!B97</f>
        <v>751</v>
      </c>
      <c r="C100" s="2" t="str">
        <f>[1]code!C97</f>
        <v>خل بلسمك</v>
      </c>
      <c r="D100" s="2" t="str">
        <f>[1]code!D97</f>
        <v>مواد غذائية (باك ستريت)</v>
      </c>
      <c r="E100" s="1" t="str">
        <f>[1]code!E97</f>
        <v>لتر</v>
      </c>
      <c r="F100" s="2" t="str">
        <f>[1]code!F97</f>
        <v>تموين الشرق - فريشلي</v>
      </c>
      <c r="G100" s="12">
        <f>[1]code!G97</f>
        <v>0</v>
      </c>
      <c r="I100" s="10">
        <v>0</v>
      </c>
      <c r="J100" s="10">
        <v>0</v>
      </c>
      <c r="K100" s="10">
        <v>0</v>
      </c>
      <c r="L100" s="10">
        <v>0</v>
      </c>
      <c r="M100" s="10" t="str">
        <f>IFERROR(VLOOKUP($B100,[1]INV!$B$7:$H$2575,7,0),"")</f>
        <v/>
      </c>
      <c r="N100" s="10"/>
      <c r="O100" s="10"/>
      <c r="P100" s="10"/>
      <c r="Q100" s="10"/>
      <c r="R100" s="10"/>
      <c r="S100" s="10"/>
      <c r="T100" s="10"/>
      <c r="U100" s="1">
        <f t="shared" si="4"/>
        <v>0</v>
      </c>
      <c r="V100" s="1">
        <f t="shared" si="5"/>
        <v>0</v>
      </c>
      <c r="W100" s="1">
        <f t="shared" si="6"/>
        <v>0</v>
      </c>
      <c r="X100" s="1">
        <f t="shared" si="7"/>
        <v>0</v>
      </c>
    </row>
    <row r="101" spans="2:24" x14ac:dyDescent="0.25">
      <c r="B101" s="11">
        <f>[1]code!B98</f>
        <v>670</v>
      </c>
      <c r="C101" s="2" t="str">
        <f>[1]code!C98</f>
        <v>مربى توت ازرق</v>
      </c>
      <c r="D101" s="2" t="str">
        <f>[1]code!D98</f>
        <v>مواد غذائية (باك ستريت)</v>
      </c>
      <c r="E101" s="1" t="str">
        <f>[1]code!E98</f>
        <v>كيلو</v>
      </c>
      <c r="F101" s="2" t="str">
        <f>[1]code!F98</f>
        <v>مشتريات مباشرة</v>
      </c>
      <c r="G101" s="12">
        <f>[1]code!G98</f>
        <v>0</v>
      </c>
      <c r="I101" s="10">
        <v>0</v>
      </c>
      <c r="J101" s="10">
        <v>0</v>
      </c>
      <c r="K101" s="10">
        <v>0</v>
      </c>
      <c r="L101" s="10">
        <v>0</v>
      </c>
      <c r="M101" s="10" t="str">
        <f>IFERROR(VLOOKUP($B101,[1]INV!$B$7:$H$2575,7,0),"")</f>
        <v/>
      </c>
      <c r="N101" s="10"/>
      <c r="O101" s="10"/>
      <c r="P101" s="10"/>
      <c r="Q101" s="10"/>
      <c r="R101" s="10"/>
      <c r="S101" s="10"/>
      <c r="T101" s="10"/>
      <c r="U101" s="1">
        <f t="shared" si="4"/>
        <v>0</v>
      </c>
      <c r="V101" s="1">
        <f t="shared" si="5"/>
        <v>0</v>
      </c>
      <c r="W101" s="1">
        <f t="shared" si="6"/>
        <v>0</v>
      </c>
      <c r="X101" s="1">
        <f t="shared" si="7"/>
        <v>0</v>
      </c>
    </row>
    <row r="102" spans="2:24" x14ac:dyDescent="0.25">
      <c r="B102" s="11">
        <f>[1]code!B99</f>
        <v>770</v>
      </c>
      <c r="C102" s="2" t="str">
        <f>[1]code!C99</f>
        <v>زيت ذرة</v>
      </c>
      <c r="D102" s="2" t="str">
        <f>[1]code!D99</f>
        <v>مواد غذائية (باك ستريت)</v>
      </c>
      <c r="E102" s="1" t="str">
        <f>[1]code!E99</f>
        <v>لتر</v>
      </c>
      <c r="F102" s="2" t="str">
        <f>[1]code!F99</f>
        <v>الفارس العالمي</v>
      </c>
      <c r="G102" s="12">
        <f>[1]code!G99</f>
        <v>0</v>
      </c>
      <c r="I102" s="10">
        <v>0</v>
      </c>
      <c r="J102" s="10">
        <v>0</v>
      </c>
      <c r="K102" s="10">
        <v>0</v>
      </c>
      <c r="L102" s="10">
        <v>0</v>
      </c>
      <c r="M102" s="10" t="str">
        <f>IFERROR(VLOOKUP($B102,[1]INV!$B$7:$H$2575,7,0),"")</f>
        <v/>
      </c>
      <c r="N102" s="10"/>
      <c r="O102" s="10"/>
      <c r="P102" s="10"/>
      <c r="Q102" s="10"/>
      <c r="R102" s="10"/>
      <c r="S102" s="10"/>
      <c r="T102" s="10"/>
      <c r="U102" s="1">
        <f t="shared" si="4"/>
        <v>0</v>
      </c>
      <c r="V102" s="1">
        <f t="shared" si="5"/>
        <v>0</v>
      </c>
      <c r="W102" s="1">
        <f t="shared" si="6"/>
        <v>0</v>
      </c>
      <c r="X102" s="1">
        <f t="shared" si="7"/>
        <v>0</v>
      </c>
    </row>
    <row r="103" spans="2:24" x14ac:dyDescent="0.25">
      <c r="B103" s="11">
        <f>[1]code!B100</f>
        <v>719</v>
      </c>
      <c r="C103" s="2" t="str">
        <f>[1]code!C100</f>
        <v>طماطم  معلبة</v>
      </c>
      <c r="D103" s="2" t="str">
        <f>[1]code!D100</f>
        <v>مواد غذائية (باك ستريت)</v>
      </c>
      <c r="E103" s="1" t="str">
        <f>[1]code!E100</f>
        <v>كيلو</v>
      </c>
      <c r="F103" s="2" t="str">
        <f>[1]code!F100</f>
        <v>تموين الشرق - فريشلي</v>
      </c>
      <c r="G103" s="12">
        <f>[1]code!G100</f>
        <v>28.75</v>
      </c>
      <c r="I103" s="10">
        <v>28.75</v>
      </c>
      <c r="J103" s="10">
        <v>28.75</v>
      </c>
      <c r="K103" s="10">
        <v>28.75</v>
      </c>
      <c r="L103" s="10">
        <v>28.75</v>
      </c>
      <c r="M103" s="10" t="str">
        <f>IFERROR(VLOOKUP($B103,[1]INV!$B$7:$H$2575,7,0),"")</f>
        <v/>
      </c>
      <c r="N103" s="10"/>
      <c r="O103" s="10"/>
      <c r="P103" s="10"/>
      <c r="Q103" s="10"/>
      <c r="R103" s="10"/>
      <c r="S103" s="10"/>
      <c r="T103" s="10"/>
      <c r="U103" s="1">
        <f t="shared" si="4"/>
        <v>28.75</v>
      </c>
      <c r="V103" s="1">
        <f t="shared" si="5"/>
        <v>28.75</v>
      </c>
      <c r="W103" s="1">
        <f t="shared" si="6"/>
        <v>28.75</v>
      </c>
      <c r="X103" s="1">
        <f t="shared" si="7"/>
        <v>28.75</v>
      </c>
    </row>
    <row r="104" spans="2:24" x14ac:dyDescent="0.25">
      <c r="B104" s="11">
        <f>[1]code!B101</f>
        <v>683</v>
      </c>
      <c r="C104" s="2" t="str">
        <f>[1]code!C101</f>
        <v>فاصوليا حمرة</v>
      </c>
      <c r="D104" s="2" t="str">
        <f>[1]code!D101</f>
        <v>مواد غذائية (باك ستريت)</v>
      </c>
      <c r="E104" s="1" t="str">
        <f>[1]code!E101</f>
        <v>كيلو</v>
      </c>
      <c r="F104" s="2" t="str">
        <f>[1]code!F101</f>
        <v>تموين الشرق - فريشلي</v>
      </c>
      <c r="G104" s="12">
        <f>[1]code!G101</f>
        <v>0</v>
      </c>
      <c r="I104" s="10">
        <v>0</v>
      </c>
      <c r="J104" s="10">
        <v>0</v>
      </c>
      <c r="K104" s="10">
        <v>0</v>
      </c>
      <c r="L104" s="10">
        <v>0</v>
      </c>
      <c r="M104" s="10" t="str">
        <f>IFERROR(VLOOKUP($B104,[1]INV!$B$7:$H$2575,7,0),"")</f>
        <v/>
      </c>
      <c r="N104" s="10"/>
      <c r="O104" s="10"/>
      <c r="P104" s="10"/>
      <c r="Q104" s="10"/>
      <c r="R104" s="10"/>
      <c r="S104" s="10"/>
      <c r="T104" s="10"/>
      <c r="U104" s="1">
        <f t="shared" si="4"/>
        <v>0</v>
      </c>
      <c r="V104" s="1">
        <f t="shared" si="5"/>
        <v>0</v>
      </c>
      <c r="W104" s="1">
        <f t="shared" si="6"/>
        <v>0</v>
      </c>
      <c r="X104" s="1">
        <f t="shared" si="7"/>
        <v>0</v>
      </c>
    </row>
    <row r="105" spans="2:24" x14ac:dyDescent="0.25">
      <c r="B105" s="11">
        <f>[1]code!B102</f>
        <v>765</v>
      </c>
      <c r="C105" s="2" t="str">
        <f>[1]code!C102</f>
        <v>زيت سمسم</v>
      </c>
      <c r="D105" s="2" t="str">
        <f>[1]code!D102</f>
        <v>مواد غذائية (باك ستريت)</v>
      </c>
      <c r="E105" s="1" t="str">
        <f>[1]code!E102</f>
        <v>لتر</v>
      </c>
      <c r="F105" s="2" t="str">
        <f>[1]code!F102</f>
        <v>مشتريات مباشرة</v>
      </c>
      <c r="G105" s="12">
        <f>[1]code!G102</f>
        <v>0</v>
      </c>
      <c r="I105" s="10">
        <v>0</v>
      </c>
      <c r="J105" s="10">
        <v>0</v>
      </c>
      <c r="K105" s="10">
        <v>0</v>
      </c>
      <c r="L105" s="10">
        <v>0</v>
      </c>
      <c r="M105" s="10" t="str">
        <f>IFERROR(VLOOKUP($B105,[1]INV!$B$7:$H$2575,7,0),"")</f>
        <v/>
      </c>
      <c r="N105" s="10"/>
      <c r="O105" s="10"/>
      <c r="P105" s="10"/>
      <c r="Q105" s="10"/>
      <c r="R105" s="10"/>
      <c r="S105" s="10"/>
      <c r="T105" s="10"/>
      <c r="U105" s="1">
        <f t="shared" si="4"/>
        <v>0</v>
      </c>
      <c r="V105" s="1">
        <f t="shared" si="5"/>
        <v>0</v>
      </c>
      <c r="W105" s="1">
        <f t="shared" si="6"/>
        <v>0</v>
      </c>
      <c r="X105" s="1">
        <f t="shared" si="7"/>
        <v>0</v>
      </c>
    </row>
    <row r="106" spans="2:24" x14ac:dyDescent="0.25">
      <c r="B106" s="11">
        <f>[1]code!B103</f>
        <v>656</v>
      </c>
      <c r="C106" s="2" t="str">
        <f>[1]code!C103</f>
        <v>خبز عربى</v>
      </c>
      <c r="D106" s="2" t="str">
        <f>[1]code!D103</f>
        <v>مواد غذائية (باك ستريت)</v>
      </c>
      <c r="E106" s="1" t="str">
        <f>[1]code!E103</f>
        <v>كيس</v>
      </c>
      <c r="F106" s="2" t="str">
        <f>[1]code!F103</f>
        <v>مشتريات مباشرة</v>
      </c>
      <c r="G106" s="12">
        <f>[1]code!G103</f>
        <v>0</v>
      </c>
      <c r="I106" s="10">
        <v>0</v>
      </c>
      <c r="J106" s="10">
        <v>0</v>
      </c>
      <c r="K106" s="10">
        <v>0</v>
      </c>
      <c r="L106" s="10">
        <v>0</v>
      </c>
      <c r="M106" s="10" t="str">
        <f>IFERROR(VLOOKUP($B106,[1]INV!$B$7:$H$2575,7,0),"")</f>
        <v/>
      </c>
      <c r="N106" s="10"/>
      <c r="O106" s="10"/>
      <c r="P106" s="10"/>
      <c r="Q106" s="10"/>
      <c r="R106" s="10"/>
      <c r="S106" s="10"/>
      <c r="T106" s="10"/>
      <c r="U106" s="1">
        <f t="shared" si="4"/>
        <v>0</v>
      </c>
      <c r="V106" s="1">
        <f t="shared" si="5"/>
        <v>0</v>
      </c>
      <c r="W106" s="1">
        <f t="shared" si="6"/>
        <v>0</v>
      </c>
      <c r="X106" s="1">
        <f t="shared" si="7"/>
        <v>0</v>
      </c>
    </row>
    <row r="107" spans="2:24" x14ac:dyDescent="0.25">
      <c r="B107" s="11">
        <f>[1]code!B104</f>
        <v>665</v>
      </c>
      <c r="C107" s="2" t="str">
        <f>[1]code!C104</f>
        <v>كاكاو</v>
      </c>
      <c r="D107" s="2" t="str">
        <f>[1]code!D104</f>
        <v>مواد غذائية (باك ستريت)</v>
      </c>
      <c r="E107" s="1" t="str">
        <f>[1]code!E104</f>
        <v>كيلو</v>
      </c>
      <c r="F107" s="2" t="str">
        <f>[1]code!F104</f>
        <v>مشتريات مباشرة</v>
      </c>
      <c r="G107" s="12">
        <f>[1]code!G104</f>
        <v>0</v>
      </c>
      <c r="I107" s="10">
        <v>0</v>
      </c>
      <c r="J107" s="10">
        <v>0</v>
      </c>
      <c r="K107" s="10">
        <v>0</v>
      </c>
      <c r="L107" s="10">
        <v>0</v>
      </c>
      <c r="M107" s="10" t="str">
        <f>IFERROR(VLOOKUP($B107,[1]INV!$B$7:$H$2575,7,0),"")</f>
        <v/>
      </c>
      <c r="N107" s="10"/>
      <c r="O107" s="10"/>
      <c r="P107" s="10"/>
      <c r="Q107" s="10"/>
      <c r="R107" s="10"/>
      <c r="S107" s="10"/>
      <c r="T107" s="10"/>
      <c r="U107" s="1">
        <f t="shared" si="4"/>
        <v>0</v>
      </c>
      <c r="V107" s="1">
        <f t="shared" si="5"/>
        <v>0</v>
      </c>
      <c r="W107" s="1">
        <f t="shared" si="6"/>
        <v>0</v>
      </c>
      <c r="X107" s="1">
        <f t="shared" si="7"/>
        <v>0</v>
      </c>
    </row>
    <row r="108" spans="2:24" x14ac:dyDescent="0.25">
      <c r="B108" s="11">
        <f>[1]code!B105</f>
        <v>717</v>
      </c>
      <c r="C108" s="2" t="str">
        <f>[1]code!C105</f>
        <v>زيت ترافيل</v>
      </c>
      <c r="D108" s="2" t="str">
        <f>[1]code!D105</f>
        <v>مواد غذائية (باك ستريت)</v>
      </c>
      <c r="E108" s="1" t="str">
        <f>[1]code!E105</f>
        <v>لتر</v>
      </c>
      <c r="F108" s="2" t="str">
        <f>[1]code!F105</f>
        <v>الخليج الوسطى</v>
      </c>
      <c r="G108" s="12">
        <f>[1]code!G105</f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f>IFERROR(VLOOKUP($B108,[1]INV!$B$7:$H$2575,7,0),"")</f>
        <v>0</v>
      </c>
      <c r="N108" s="10"/>
      <c r="O108" s="10"/>
      <c r="P108" s="10"/>
      <c r="Q108" s="10"/>
      <c r="R108" s="10"/>
      <c r="S108" s="10"/>
      <c r="T108" s="10"/>
      <c r="U108" s="1">
        <f t="shared" si="4"/>
        <v>0</v>
      </c>
      <c r="V108" s="1">
        <f t="shared" si="5"/>
        <v>0</v>
      </c>
      <c r="W108" s="1">
        <f t="shared" si="6"/>
        <v>0</v>
      </c>
      <c r="X108" s="1">
        <f t="shared" si="7"/>
        <v>0</v>
      </c>
    </row>
    <row r="109" spans="2:24" x14ac:dyDescent="0.25">
      <c r="B109" s="11">
        <f>[1]code!B106</f>
        <v>759</v>
      </c>
      <c r="C109" s="2" t="str">
        <f>[1]code!C106</f>
        <v>ورق عنب</v>
      </c>
      <c r="D109" s="2" t="str">
        <f>[1]code!D106</f>
        <v>مواد غذائية (باك ستريت)</v>
      </c>
      <c r="E109" s="1" t="str">
        <f>[1]code!E106</f>
        <v>كيلو</v>
      </c>
      <c r="F109" s="2" t="str">
        <f>[1]code!F106</f>
        <v>تموين الشرق - فريشلي</v>
      </c>
      <c r="G109" s="12">
        <f>[1]code!G106</f>
        <v>0</v>
      </c>
      <c r="I109" s="10">
        <v>0</v>
      </c>
      <c r="J109" s="10">
        <v>0</v>
      </c>
      <c r="K109" s="10">
        <v>0</v>
      </c>
      <c r="L109" s="10">
        <v>0</v>
      </c>
      <c r="M109" s="10" t="str">
        <f>IFERROR(VLOOKUP($B109,[1]INV!$B$7:$H$2575,7,0),"")</f>
        <v/>
      </c>
      <c r="N109" s="10"/>
      <c r="O109" s="10"/>
      <c r="P109" s="10"/>
      <c r="Q109" s="10"/>
      <c r="R109" s="10"/>
      <c r="S109" s="10"/>
      <c r="T109" s="10"/>
      <c r="U109" s="1">
        <f t="shared" si="4"/>
        <v>0</v>
      </c>
      <c r="V109" s="1">
        <f t="shared" si="5"/>
        <v>0</v>
      </c>
      <c r="W109" s="1">
        <f t="shared" si="6"/>
        <v>0</v>
      </c>
      <c r="X109" s="1">
        <f t="shared" si="7"/>
        <v>0</v>
      </c>
    </row>
    <row r="110" spans="2:24" x14ac:dyDescent="0.25">
      <c r="B110" s="11">
        <f>[1]code!B107</f>
        <v>712</v>
      </c>
      <c r="C110" s="2" t="str">
        <f>[1]code!C107</f>
        <v>بطاطس مجمد كرتونة *10 كيلو</v>
      </c>
      <c r="D110" s="2" t="str">
        <f>[1]code!D107</f>
        <v>مواد غذائية (باك ستريت)</v>
      </c>
      <c r="E110" s="1" t="str">
        <f>[1]code!E107</f>
        <v>كيلو</v>
      </c>
      <c r="F110" s="2" t="str">
        <f>[1]code!F107</f>
        <v>موسسة مورد النخبة</v>
      </c>
      <c r="G110" s="12">
        <f>[1]code!G107</f>
        <v>0</v>
      </c>
      <c r="I110" s="10">
        <v>0</v>
      </c>
      <c r="J110" s="10">
        <v>0</v>
      </c>
      <c r="K110" s="10">
        <v>0</v>
      </c>
      <c r="L110" s="10">
        <v>0</v>
      </c>
      <c r="M110" s="10" t="str">
        <f>IFERROR(VLOOKUP($B110,[1]INV!$B$7:$H$2575,7,0),"")</f>
        <v/>
      </c>
      <c r="N110" s="10"/>
      <c r="O110" s="10"/>
      <c r="P110" s="10"/>
      <c r="Q110" s="10"/>
      <c r="R110" s="10"/>
      <c r="S110" s="10"/>
      <c r="T110" s="10"/>
      <c r="U110" s="1">
        <f t="shared" si="4"/>
        <v>0</v>
      </c>
      <c r="V110" s="1">
        <f t="shared" si="5"/>
        <v>0</v>
      </c>
      <c r="W110" s="1">
        <f t="shared" si="6"/>
        <v>0</v>
      </c>
      <c r="X110" s="1">
        <f t="shared" si="7"/>
        <v>0</v>
      </c>
    </row>
    <row r="111" spans="2:24" x14ac:dyDescent="0.25">
      <c r="B111" s="11">
        <f>[1]code!B108</f>
        <v>660</v>
      </c>
      <c r="C111" s="2" t="str">
        <f>[1]code!C108</f>
        <v>توت مجفف</v>
      </c>
      <c r="D111" s="2" t="str">
        <f>[1]code!D108</f>
        <v>مواد غذائية (باك ستريت)</v>
      </c>
      <c r="E111" s="1" t="str">
        <f>[1]code!E108</f>
        <v>كيلو</v>
      </c>
      <c r="F111" s="2" t="str">
        <f>[1]code!F108</f>
        <v>مشتريات مباشرة</v>
      </c>
      <c r="G111" s="12">
        <f>[1]code!G108</f>
        <v>0</v>
      </c>
      <c r="I111" s="10">
        <v>0</v>
      </c>
      <c r="J111" s="10">
        <v>0</v>
      </c>
      <c r="K111" s="10">
        <v>0</v>
      </c>
      <c r="L111" s="10">
        <v>0</v>
      </c>
      <c r="M111" s="10" t="str">
        <f>IFERROR(VLOOKUP($B111,[1]INV!$B$7:$H$2575,7,0),"")</f>
        <v/>
      </c>
      <c r="N111" s="10"/>
      <c r="O111" s="10"/>
      <c r="P111" s="10"/>
      <c r="Q111" s="10"/>
      <c r="R111" s="10"/>
      <c r="S111" s="10"/>
      <c r="T111" s="10"/>
      <c r="U111" s="1">
        <f t="shared" si="4"/>
        <v>0</v>
      </c>
      <c r="V111" s="1">
        <f t="shared" si="5"/>
        <v>0</v>
      </c>
      <c r="W111" s="1">
        <f t="shared" si="6"/>
        <v>0</v>
      </c>
      <c r="X111" s="1">
        <f t="shared" si="7"/>
        <v>0</v>
      </c>
    </row>
    <row r="112" spans="2:24" x14ac:dyDescent="0.25">
      <c r="B112" s="11">
        <f>[1]code!B109</f>
        <v>675</v>
      </c>
      <c r="C112" s="2" t="str">
        <f>[1]code!C109</f>
        <v>سميد</v>
      </c>
      <c r="D112" s="2" t="str">
        <f>[1]code!D109</f>
        <v>مواد غذائية (باك ستريت)</v>
      </c>
      <c r="E112" s="1" t="str">
        <f>[1]code!E109</f>
        <v>كيلو</v>
      </c>
      <c r="F112" s="2" t="str">
        <f>[1]code!F109</f>
        <v>مشتريات مباشرة</v>
      </c>
      <c r="G112" s="12">
        <f>[1]code!G109</f>
        <v>0</v>
      </c>
      <c r="I112" s="10">
        <v>0</v>
      </c>
      <c r="J112" s="10">
        <v>0</v>
      </c>
      <c r="K112" s="10">
        <v>0</v>
      </c>
      <c r="L112" s="10">
        <v>0</v>
      </c>
      <c r="M112" s="10" t="str">
        <f>IFERROR(VLOOKUP($B112,[1]INV!$B$7:$H$2575,7,0),"")</f>
        <v/>
      </c>
      <c r="N112" s="10"/>
      <c r="O112" s="10"/>
      <c r="P112" s="10"/>
      <c r="Q112" s="10"/>
      <c r="R112" s="10"/>
      <c r="S112" s="10"/>
      <c r="T112" s="10"/>
      <c r="U112" s="1">
        <f t="shared" si="4"/>
        <v>0</v>
      </c>
      <c r="V112" s="1">
        <f t="shared" si="5"/>
        <v>0</v>
      </c>
      <c r="W112" s="1">
        <f t="shared" si="6"/>
        <v>0</v>
      </c>
      <c r="X112" s="1">
        <f t="shared" si="7"/>
        <v>0</v>
      </c>
    </row>
    <row r="113" spans="2:24" x14ac:dyDescent="0.25">
      <c r="B113" s="11">
        <f>[1]code!B110</f>
        <v>654</v>
      </c>
      <c r="C113" s="2" t="str">
        <f>[1]code!C110</f>
        <v>خبز تورتلا</v>
      </c>
      <c r="D113" s="2" t="str">
        <f>[1]code!D110</f>
        <v>مواد غذائية (باك ستريت)</v>
      </c>
      <c r="E113" s="1" t="str">
        <f>[1]code!E110</f>
        <v>كيس</v>
      </c>
      <c r="F113" s="2" t="str">
        <f>[1]code!F110</f>
        <v>مشتريات مباشرة</v>
      </c>
      <c r="G113" s="12">
        <f>[1]code!G110</f>
        <v>0</v>
      </c>
      <c r="I113" s="10">
        <v>0</v>
      </c>
      <c r="J113" s="10">
        <v>0</v>
      </c>
      <c r="K113" s="10">
        <v>0</v>
      </c>
      <c r="L113" s="10">
        <v>0</v>
      </c>
      <c r="M113" s="10" t="str">
        <f>IFERROR(VLOOKUP($B113,[1]INV!$B$7:$H$2575,7,0),"")</f>
        <v/>
      </c>
      <c r="N113" s="10"/>
      <c r="O113" s="10"/>
      <c r="P113" s="10"/>
      <c r="Q113" s="10"/>
      <c r="R113" s="10"/>
      <c r="S113" s="10"/>
      <c r="T113" s="10"/>
      <c r="U113" s="1">
        <f t="shared" si="4"/>
        <v>0</v>
      </c>
      <c r="V113" s="1">
        <f t="shared" si="5"/>
        <v>0</v>
      </c>
      <c r="W113" s="1">
        <f t="shared" si="6"/>
        <v>0</v>
      </c>
      <c r="X113" s="1">
        <f t="shared" si="7"/>
        <v>0</v>
      </c>
    </row>
    <row r="114" spans="2:24" x14ac:dyDescent="0.25">
      <c r="B114" s="11">
        <f>[1]code!B111</f>
        <v>684</v>
      </c>
      <c r="C114" s="2" t="str">
        <f>[1]code!C111</f>
        <v>با ستا فيونكة خام</v>
      </c>
      <c r="D114" s="2" t="str">
        <f>[1]code!D111</f>
        <v>مواد غذائية (باك ستريت)</v>
      </c>
      <c r="E114" s="1" t="str">
        <f>[1]code!E111</f>
        <v>كيلو</v>
      </c>
      <c r="F114" s="2" t="str">
        <f>[1]code!F111</f>
        <v>العلالي</v>
      </c>
      <c r="G114" s="12">
        <f>[1]code!G111</f>
        <v>0</v>
      </c>
      <c r="I114" s="10">
        <v>0</v>
      </c>
      <c r="J114" s="10">
        <v>0</v>
      </c>
      <c r="K114" s="10">
        <v>0</v>
      </c>
      <c r="L114" s="10">
        <v>0</v>
      </c>
      <c r="M114" s="10" t="str">
        <f>IFERROR(VLOOKUP($B114,[1]INV!$B$7:$H$2575,7,0),"")</f>
        <v/>
      </c>
      <c r="N114" s="10"/>
      <c r="O114" s="10"/>
      <c r="P114" s="10"/>
      <c r="Q114" s="10"/>
      <c r="R114" s="10"/>
      <c r="S114" s="10"/>
      <c r="T114" s="10"/>
      <c r="U114" s="1">
        <f t="shared" si="4"/>
        <v>0</v>
      </c>
      <c r="V114" s="1">
        <f t="shared" si="5"/>
        <v>0</v>
      </c>
      <c r="W114" s="1">
        <f t="shared" si="6"/>
        <v>0</v>
      </c>
      <c r="X114" s="1">
        <f t="shared" si="7"/>
        <v>0</v>
      </c>
    </row>
    <row r="115" spans="2:24" x14ac:dyDescent="0.25">
      <c r="B115" s="11">
        <f>[1]code!B112</f>
        <v>803</v>
      </c>
      <c r="C115" s="2" t="str">
        <f>[1]code!C112</f>
        <v>دقيق ذرة</v>
      </c>
      <c r="D115" s="2" t="str">
        <f>[1]code!D112</f>
        <v>مواد غذائية (باك ستريت)</v>
      </c>
      <c r="E115" s="1" t="str">
        <f>[1]code!E112</f>
        <v>كيلو</v>
      </c>
      <c r="F115" s="2" t="str">
        <f>[1]code!F112</f>
        <v>مشتريات مباشرة</v>
      </c>
      <c r="G115" s="12">
        <f>[1]code!G112</f>
        <v>0</v>
      </c>
      <c r="I115" s="10">
        <v>0</v>
      </c>
      <c r="J115" s="10">
        <v>0</v>
      </c>
      <c r="K115" s="10">
        <v>0</v>
      </c>
      <c r="L115" s="10">
        <v>0</v>
      </c>
      <c r="M115" s="10" t="str">
        <f>IFERROR(VLOOKUP($B115,[1]INV!$B$7:$H$2575,7,0),"")</f>
        <v/>
      </c>
      <c r="N115" s="10"/>
      <c r="O115" s="10"/>
      <c r="P115" s="10"/>
      <c r="Q115" s="10"/>
      <c r="R115" s="10"/>
      <c r="S115" s="10"/>
      <c r="T115" s="10"/>
      <c r="U115" s="1">
        <f t="shared" si="4"/>
        <v>0</v>
      </c>
      <c r="V115" s="1">
        <f t="shared" si="5"/>
        <v>0</v>
      </c>
      <c r="W115" s="1">
        <f t="shared" si="6"/>
        <v>0</v>
      </c>
      <c r="X115" s="1">
        <f t="shared" si="7"/>
        <v>0</v>
      </c>
    </row>
    <row r="116" spans="2:24" x14ac:dyDescent="0.25">
      <c r="B116" s="11">
        <f>[1]code!B113</f>
        <v>716</v>
      </c>
      <c r="C116" s="2" t="str">
        <f>[1]code!C113</f>
        <v>بيف بيكون</v>
      </c>
      <c r="D116" s="2" t="str">
        <f>[1]code!D113</f>
        <v>مواد غذائية (باك ستريت)</v>
      </c>
      <c r="E116" s="1" t="str">
        <f>[1]code!E113</f>
        <v>كيلو</v>
      </c>
      <c r="F116" s="2" t="str">
        <f>[1]code!F113</f>
        <v>العربية</v>
      </c>
      <c r="G116" s="12">
        <f>[1]code!G113</f>
        <v>74.75</v>
      </c>
      <c r="I116" s="10">
        <v>0</v>
      </c>
      <c r="J116" s="10">
        <v>0</v>
      </c>
      <c r="K116" s="10">
        <v>0</v>
      </c>
      <c r="L116" s="10">
        <v>74.75</v>
      </c>
      <c r="M116" s="10">
        <f>IFERROR(VLOOKUP($B116,[1]INV!$B$7:$H$2575,7,0),"")</f>
        <v>74.75</v>
      </c>
      <c r="N116" s="10"/>
      <c r="O116" s="10"/>
      <c r="P116" s="10"/>
      <c r="Q116" s="10"/>
      <c r="R116" s="10"/>
      <c r="S116" s="10"/>
      <c r="T116" s="10"/>
      <c r="U116" s="1">
        <f t="shared" si="4"/>
        <v>0</v>
      </c>
      <c r="V116" s="1">
        <f t="shared" si="5"/>
        <v>0</v>
      </c>
      <c r="W116" s="1">
        <f t="shared" si="6"/>
        <v>0</v>
      </c>
      <c r="X116" s="1">
        <f t="shared" si="7"/>
        <v>74.75</v>
      </c>
    </row>
    <row r="117" spans="2:24" x14ac:dyDescent="0.25">
      <c r="B117" s="11">
        <f>[1]code!B114</f>
        <v>804</v>
      </c>
      <c r="C117" s="2" t="str">
        <f>[1]code!C114</f>
        <v>خل ارز</v>
      </c>
      <c r="D117" s="2" t="str">
        <f>[1]code!D114</f>
        <v>مواد غذائية (باك ستريت)</v>
      </c>
      <c r="E117" s="1" t="str">
        <f>[1]code!E114</f>
        <v>لتر</v>
      </c>
      <c r="F117" s="2" t="str">
        <f>[1]code!F114</f>
        <v>تموين الشرق - فريشلي</v>
      </c>
      <c r="G117" s="12">
        <f>[1]code!G114</f>
        <v>0</v>
      </c>
      <c r="I117" s="10">
        <v>0</v>
      </c>
      <c r="J117" s="10">
        <v>0</v>
      </c>
      <c r="K117" s="10">
        <v>0</v>
      </c>
      <c r="L117" s="10">
        <v>0</v>
      </c>
      <c r="M117" s="10" t="str">
        <f>IFERROR(VLOOKUP($B117,[1]INV!$B$7:$H$2575,7,0),"")</f>
        <v/>
      </c>
      <c r="N117" s="10"/>
      <c r="O117" s="10"/>
      <c r="P117" s="10"/>
      <c r="Q117" s="10"/>
      <c r="R117" s="10"/>
      <c r="S117" s="10"/>
      <c r="T117" s="10"/>
      <c r="U117" s="1">
        <f t="shared" si="4"/>
        <v>0</v>
      </c>
      <c r="V117" s="1">
        <f t="shared" si="5"/>
        <v>0</v>
      </c>
      <c r="W117" s="1">
        <f t="shared" si="6"/>
        <v>0</v>
      </c>
      <c r="X117" s="1">
        <f t="shared" si="7"/>
        <v>0</v>
      </c>
    </row>
    <row r="118" spans="2:24" x14ac:dyDescent="0.25">
      <c r="B118" s="11">
        <f>[1]code!B115</f>
        <v>696</v>
      </c>
      <c r="C118" s="2" t="str">
        <f>[1]code!C115</f>
        <v>شطة تابسكو احمر</v>
      </c>
      <c r="D118" s="2" t="str">
        <f>[1]code!D115</f>
        <v>مواد غذائية (باك ستريت)</v>
      </c>
      <c r="E118" s="1" t="str">
        <f>[1]code!E115</f>
        <v>لتر</v>
      </c>
      <c r="F118" s="2" t="str">
        <f>[1]code!F115</f>
        <v>تموين الشرق - فريشلي</v>
      </c>
      <c r="G118" s="12">
        <f>[1]code!G115</f>
        <v>0</v>
      </c>
      <c r="I118" s="10">
        <v>0</v>
      </c>
      <c r="J118" s="10">
        <v>0</v>
      </c>
      <c r="K118" s="10">
        <v>0</v>
      </c>
      <c r="L118" s="10">
        <v>0</v>
      </c>
      <c r="M118" s="10" t="str">
        <f>IFERROR(VLOOKUP($B118,[1]INV!$B$7:$H$2575,7,0),"")</f>
        <v/>
      </c>
      <c r="N118" s="10"/>
      <c r="O118" s="10"/>
      <c r="P118" s="10"/>
      <c r="Q118" s="10"/>
      <c r="R118" s="10"/>
      <c r="S118" s="10"/>
      <c r="T118" s="10"/>
      <c r="U118" s="1">
        <f t="shared" si="4"/>
        <v>0</v>
      </c>
      <c r="V118" s="1">
        <f t="shared" si="5"/>
        <v>0</v>
      </c>
      <c r="W118" s="1">
        <f t="shared" si="6"/>
        <v>0</v>
      </c>
      <c r="X118" s="1">
        <f t="shared" si="7"/>
        <v>0</v>
      </c>
    </row>
    <row r="119" spans="2:24" x14ac:dyDescent="0.25">
      <c r="B119" s="11">
        <f>[1]code!B116</f>
        <v>697</v>
      </c>
      <c r="C119" s="2" t="str">
        <f>[1]code!C116</f>
        <v>شطة تابسكو اخضر</v>
      </c>
      <c r="D119" s="2" t="str">
        <f>[1]code!D116</f>
        <v>مواد غذائية (باك ستريت)</v>
      </c>
      <c r="E119" s="1" t="str">
        <f>[1]code!E116</f>
        <v>لتر</v>
      </c>
      <c r="F119" s="2" t="str">
        <f>[1]code!F116</f>
        <v>تموين الشرق - فريشلي</v>
      </c>
      <c r="G119" s="12">
        <f>[1]code!G116</f>
        <v>0</v>
      </c>
      <c r="I119" s="10">
        <v>0</v>
      </c>
      <c r="J119" s="10">
        <v>0</v>
      </c>
      <c r="K119" s="10">
        <v>0</v>
      </c>
      <c r="L119" s="10">
        <v>0</v>
      </c>
      <c r="M119" s="10" t="str">
        <f>IFERROR(VLOOKUP($B119,[1]INV!$B$7:$H$2575,7,0),"")</f>
        <v/>
      </c>
      <c r="N119" s="10"/>
      <c r="O119" s="10"/>
      <c r="P119" s="10"/>
      <c r="Q119" s="10"/>
      <c r="R119" s="10"/>
      <c r="S119" s="10"/>
      <c r="T119" s="10"/>
      <c r="U119" s="1">
        <f t="shared" si="4"/>
        <v>0</v>
      </c>
      <c r="V119" s="1">
        <f t="shared" si="5"/>
        <v>0</v>
      </c>
      <c r="W119" s="1">
        <f t="shared" si="6"/>
        <v>0</v>
      </c>
      <c r="X119" s="1">
        <f t="shared" si="7"/>
        <v>0</v>
      </c>
    </row>
    <row r="120" spans="2:24" x14ac:dyDescent="0.25">
      <c r="B120" s="11">
        <f>[1]code!B117</f>
        <v>820</v>
      </c>
      <c r="C120" s="2" t="str">
        <f>[1]code!C117</f>
        <v>باستا ريجاتوني</v>
      </c>
      <c r="D120" s="2" t="str">
        <f>[1]code!D117</f>
        <v>مواد غذائية (باك ستريت)</v>
      </c>
      <c r="E120" s="1" t="str">
        <f>[1]code!E117</f>
        <v>كيلو</v>
      </c>
      <c r="F120" s="2" t="str">
        <f>[1]code!F117</f>
        <v>نخالة القمح</v>
      </c>
      <c r="G120" s="12">
        <f>[1]code!G117</f>
        <v>0</v>
      </c>
      <c r="I120" s="10">
        <v>0</v>
      </c>
      <c r="J120" s="10">
        <v>0</v>
      </c>
      <c r="K120" s="10">
        <v>0</v>
      </c>
      <c r="L120" s="10">
        <v>0</v>
      </c>
      <c r="M120" s="10" t="str">
        <f>IFERROR(VLOOKUP($B120,[1]INV!$B$7:$H$2575,7,0),"")</f>
        <v/>
      </c>
      <c r="N120" s="10"/>
      <c r="O120" s="10"/>
      <c r="P120" s="10"/>
      <c r="Q120" s="10"/>
      <c r="R120" s="10"/>
      <c r="S120" s="10"/>
      <c r="T120" s="10"/>
      <c r="U120" s="1">
        <f t="shared" si="4"/>
        <v>0</v>
      </c>
      <c r="V120" s="1">
        <f t="shared" si="5"/>
        <v>0</v>
      </c>
      <c r="W120" s="1">
        <f t="shared" si="6"/>
        <v>0</v>
      </c>
      <c r="X120" s="1">
        <f t="shared" si="7"/>
        <v>0</v>
      </c>
    </row>
    <row r="121" spans="2:24" x14ac:dyDescent="0.25">
      <c r="B121" s="11">
        <f>[1]code!B118</f>
        <v>659</v>
      </c>
      <c r="C121" s="2" t="str">
        <f>[1]code!C118</f>
        <v>زبادى يونانى</v>
      </c>
      <c r="D121" s="2" t="str">
        <f>[1]code!D118</f>
        <v>مواد غذائية (باك ستريت)</v>
      </c>
      <c r="E121" s="1" t="str">
        <f>[1]code!E118</f>
        <v>كيلو</v>
      </c>
      <c r="F121" s="2" t="str">
        <f>[1]code!F118</f>
        <v>مشتريات مباشرة</v>
      </c>
      <c r="G121" s="12">
        <f>[1]code!G118</f>
        <v>0</v>
      </c>
      <c r="I121" s="10">
        <v>0</v>
      </c>
      <c r="J121" s="10">
        <v>0</v>
      </c>
      <c r="K121" s="10">
        <v>0</v>
      </c>
      <c r="L121" s="10">
        <v>0</v>
      </c>
      <c r="M121" s="10" t="str">
        <f>IFERROR(VLOOKUP($B121,[1]INV!$B$7:$H$2575,7,0),"")</f>
        <v/>
      </c>
      <c r="N121" s="10"/>
      <c r="O121" s="10"/>
      <c r="P121" s="10"/>
      <c r="Q121" s="10"/>
      <c r="R121" s="10"/>
      <c r="S121" s="10"/>
      <c r="T121" s="10"/>
      <c r="U121" s="1">
        <f t="shared" si="4"/>
        <v>0</v>
      </c>
      <c r="V121" s="1">
        <f t="shared" si="5"/>
        <v>0</v>
      </c>
      <c r="W121" s="1">
        <f t="shared" si="6"/>
        <v>0</v>
      </c>
      <c r="X121" s="1">
        <f t="shared" si="7"/>
        <v>0</v>
      </c>
    </row>
    <row r="122" spans="2:24" x14ac:dyDescent="0.25">
      <c r="B122" s="11">
        <f>[1]code!B119</f>
        <v>661</v>
      </c>
      <c r="C122" s="2" t="str">
        <f>[1]code!C119</f>
        <v>لبنة</v>
      </c>
      <c r="D122" s="2" t="str">
        <f>[1]code!D119</f>
        <v>مواد غذائية (باك ستريت)</v>
      </c>
      <c r="E122" s="1" t="str">
        <f>[1]code!E119</f>
        <v>كيلو</v>
      </c>
      <c r="F122" s="2" t="str">
        <f>[1]code!F119</f>
        <v>المراعى</v>
      </c>
      <c r="G122" s="12">
        <f>[1]code!G119</f>
        <v>0</v>
      </c>
      <c r="I122" s="10">
        <v>0</v>
      </c>
      <c r="J122" s="10">
        <v>0</v>
      </c>
      <c r="K122" s="10">
        <v>0</v>
      </c>
      <c r="L122" s="10">
        <v>0</v>
      </c>
      <c r="M122" s="10" t="str">
        <f>IFERROR(VLOOKUP($B122,[1]INV!$B$7:$H$2575,7,0),"")</f>
        <v/>
      </c>
      <c r="N122" s="10"/>
      <c r="O122" s="10"/>
      <c r="P122" s="10"/>
      <c r="Q122" s="10"/>
      <c r="R122" s="10"/>
      <c r="S122" s="10"/>
      <c r="T122" s="10"/>
      <c r="U122" s="1">
        <f t="shared" si="4"/>
        <v>0</v>
      </c>
      <c r="V122" s="1">
        <f t="shared" si="5"/>
        <v>0</v>
      </c>
      <c r="W122" s="1">
        <f t="shared" si="6"/>
        <v>0</v>
      </c>
      <c r="X122" s="1">
        <f t="shared" si="7"/>
        <v>0</v>
      </c>
    </row>
    <row r="123" spans="2:24" x14ac:dyDescent="0.25">
      <c r="B123" s="11">
        <f>[1]code!B120</f>
        <v>674</v>
      </c>
      <c r="C123" s="2" t="str">
        <f>[1]code!C120</f>
        <v>زبادى عادى</v>
      </c>
      <c r="D123" s="2" t="str">
        <f>[1]code!D120</f>
        <v>مواد غذائية (باك ستريت)</v>
      </c>
      <c r="E123" s="1" t="str">
        <f>[1]code!E120</f>
        <v>كيلو</v>
      </c>
      <c r="F123" s="2" t="str">
        <f>[1]code!F120</f>
        <v>المراعى</v>
      </c>
      <c r="G123" s="12">
        <f>[1]code!G120</f>
        <v>11.763350000000001</v>
      </c>
      <c r="I123" s="10">
        <v>11.763350000000001</v>
      </c>
      <c r="J123" s="10">
        <v>11.763350000000001</v>
      </c>
      <c r="K123" s="10">
        <v>11.763350000000001</v>
      </c>
      <c r="L123" s="10">
        <v>11.763350000000001</v>
      </c>
      <c r="M123" s="10" t="str">
        <f>IFERROR(VLOOKUP($B123,[1]INV!$B$7:$H$2575,7,0),"")</f>
        <v/>
      </c>
      <c r="N123" s="10"/>
      <c r="O123" s="10"/>
      <c r="P123" s="10"/>
      <c r="Q123" s="10"/>
      <c r="R123" s="10"/>
      <c r="S123" s="10"/>
      <c r="T123" s="10"/>
      <c r="U123" s="1">
        <f t="shared" si="4"/>
        <v>11.763350000000001</v>
      </c>
      <c r="V123" s="1">
        <f t="shared" si="5"/>
        <v>11.763350000000001</v>
      </c>
      <c r="W123" s="1">
        <f t="shared" si="6"/>
        <v>11.763350000000001</v>
      </c>
      <c r="X123" s="1">
        <f t="shared" si="7"/>
        <v>11.763350000000001</v>
      </c>
    </row>
    <row r="124" spans="2:24" x14ac:dyDescent="0.25">
      <c r="B124" s="11">
        <f>[1]code!B121</f>
        <v>748</v>
      </c>
      <c r="C124" s="2" t="str">
        <f>[1]code!C121</f>
        <v>جبنة بارمزن</v>
      </c>
      <c r="D124" s="2" t="str">
        <f>[1]code!D121</f>
        <v>مواد غذائية (باك ستريت)</v>
      </c>
      <c r="E124" s="1" t="str">
        <f>[1]code!E121</f>
        <v>كيلو</v>
      </c>
      <c r="F124" s="2" t="str">
        <f>[1]code!F121</f>
        <v>الخليج الوسطى</v>
      </c>
      <c r="G124" s="12">
        <f>[1]code!G121</f>
        <v>66.52</v>
      </c>
      <c r="I124" s="10">
        <v>66.52</v>
      </c>
      <c r="J124" s="10">
        <v>66.52</v>
      </c>
      <c r="K124" s="10">
        <v>66.52</v>
      </c>
      <c r="L124" s="10">
        <v>66.52</v>
      </c>
      <c r="M124" s="10" t="str">
        <f>IFERROR(VLOOKUP($B124,[1]INV!$B$7:$H$2575,7,0),"")</f>
        <v/>
      </c>
      <c r="N124" s="10"/>
      <c r="O124" s="10"/>
      <c r="P124" s="10"/>
      <c r="Q124" s="10"/>
      <c r="R124" s="10"/>
      <c r="S124" s="10"/>
      <c r="T124" s="10"/>
      <c r="U124" s="1">
        <f t="shared" si="4"/>
        <v>66.52</v>
      </c>
      <c r="V124" s="1">
        <f t="shared" si="5"/>
        <v>66.52</v>
      </c>
      <c r="W124" s="1">
        <f t="shared" si="6"/>
        <v>66.52</v>
      </c>
      <c r="X124" s="1">
        <f t="shared" si="7"/>
        <v>66.52</v>
      </c>
    </row>
    <row r="125" spans="2:24" x14ac:dyDescent="0.25">
      <c r="B125" s="11">
        <f>[1]code!B122</f>
        <v>664</v>
      </c>
      <c r="C125" s="2" t="str">
        <f>[1]code!C122</f>
        <v>حليب مكثف</v>
      </c>
      <c r="D125" s="2" t="str">
        <f>[1]code!D122</f>
        <v>مواد غذائية (باك ستريت)</v>
      </c>
      <c r="E125" s="1" t="str">
        <f>[1]code!E122</f>
        <v>كيلو</v>
      </c>
      <c r="F125" s="2" t="str">
        <f>[1]code!F122</f>
        <v>مشتريات مباشرة</v>
      </c>
      <c r="G125" s="12">
        <f>[1]code!G122</f>
        <v>29.949220000000004</v>
      </c>
      <c r="I125" s="10">
        <v>29.949220000000004</v>
      </c>
      <c r="J125" s="10">
        <v>30.100099999999998</v>
      </c>
      <c r="K125" s="10">
        <v>30.100099999999998</v>
      </c>
      <c r="L125" s="10">
        <v>30.100100000000005</v>
      </c>
      <c r="M125" s="10">
        <f>IFERROR(VLOOKUP($B125,[1]INV!$B$7:$H$2575,7,0),"")</f>
        <v>30.099786363636365</v>
      </c>
      <c r="N125" s="10"/>
      <c r="O125" s="10"/>
      <c r="P125" s="10"/>
      <c r="Q125" s="10"/>
      <c r="R125" s="10"/>
      <c r="S125" s="10"/>
      <c r="T125" s="10"/>
      <c r="U125" s="1">
        <f t="shared" si="4"/>
        <v>29.949220000000004</v>
      </c>
      <c r="V125" s="1">
        <f t="shared" si="5"/>
        <v>30.100099999999998</v>
      </c>
      <c r="W125" s="1">
        <f t="shared" si="6"/>
        <v>30.100099999999998</v>
      </c>
      <c r="X125" s="1">
        <f t="shared" si="7"/>
        <v>30.100100000000005</v>
      </c>
    </row>
    <row r="126" spans="2:24" x14ac:dyDescent="0.25">
      <c r="B126" s="11">
        <f>[1]code!B123</f>
        <v>819</v>
      </c>
      <c r="C126" s="2" t="str">
        <f>[1]code!C123</f>
        <v>شيدر ماتير</v>
      </c>
      <c r="D126" s="2" t="str">
        <f>[1]code!D123</f>
        <v>مواد غذائية (باك ستريت)</v>
      </c>
      <c r="E126" s="1" t="str">
        <f>[1]code!E123</f>
        <v>كيلو</v>
      </c>
      <c r="F126" s="2" t="str">
        <f>[1]code!F123</f>
        <v>مشتريات مباشرة</v>
      </c>
      <c r="G126" s="12">
        <f>[1]code!G123</f>
        <v>0</v>
      </c>
      <c r="I126" s="10">
        <v>0</v>
      </c>
      <c r="J126" s="10">
        <v>0</v>
      </c>
      <c r="K126" s="10">
        <v>0</v>
      </c>
      <c r="L126" s="10">
        <v>0</v>
      </c>
      <c r="M126" s="10" t="str">
        <f>IFERROR(VLOOKUP($B126,[1]INV!$B$7:$H$2575,7,0),"")</f>
        <v/>
      </c>
      <c r="N126" s="10"/>
      <c r="O126" s="10"/>
      <c r="P126" s="10"/>
      <c r="Q126" s="10"/>
      <c r="R126" s="10"/>
      <c r="S126" s="10"/>
      <c r="T126" s="10"/>
      <c r="U126" s="1">
        <f t="shared" si="4"/>
        <v>0</v>
      </c>
      <c r="V126" s="1">
        <f t="shared" si="5"/>
        <v>0</v>
      </c>
      <c r="W126" s="1">
        <f t="shared" si="6"/>
        <v>0</v>
      </c>
      <c r="X126" s="1">
        <f t="shared" si="7"/>
        <v>0</v>
      </c>
    </row>
    <row r="127" spans="2:24" x14ac:dyDescent="0.25">
      <c r="B127" s="11">
        <f>[1]code!B124</f>
        <v>673</v>
      </c>
      <c r="C127" s="2" t="str">
        <f>[1]code!C124</f>
        <v>جبنة فيتا</v>
      </c>
      <c r="D127" s="2" t="str">
        <f>[1]code!D124</f>
        <v>مواد غذائية (باك ستريت)</v>
      </c>
      <c r="E127" s="1" t="str">
        <f>[1]code!E124</f>
        <v>كيلو</v>
      </c>
      <c r="F127" s="2" t="str">
        <f>[1]code!F124</f>
        <v>مشتريات مباشرة</v>
      </c>
      <c r="G127" s="12">
        <f>[1]code!G124</f>
        <v>22.079700970245803</v>
      </c>
      <c r="I127" s="10">
        <v>22.079700970245803</v>
      </c>
      <c r="J127" s="10">
        <v>16.935222140672781</v>
      </c>
      <c r="K127" s="10">
        <v>17.033491463414634</v>
      </c>
      <c r="L127" s="10">
        <v>9.1768768754552088</v>
      </c>
      <c r="M127" s="10" t="str">
        <f>IFERROR(VLOOKUP($B127,[1]INV!$B$7:$H$2575,7,0),"")</f>
        <v/>
      </c>
      <c r="N127" s="10"/>
      <c r="O127" s="10"/>
      <c r="P127" s="10"/>
      <c r="Q127" s="10"/>
      <c r="R127" s="10"/>
      <c r="S127" s="10"/>
      <c r="T127" s="10"/>
      <c r="U127" s="1">
        <f t="shared" si="4"/>
        <v>22.079700970245803</v>
      </c>
      <c r="V127" s="1">
        <f t="shared" si="5"/>
        <v>16.935222140672781</v>
      </c>
      <c r="W127" s="1">
        <f t="shared" si="6"/>
        <v>17.033491463414634</v>
      </c>
      <c r="X127" s="1">
        <f t="shared" si="7"/>
        <v>9.1768768754552088</v>
      </c>
    </row>
    <row r="128" spans="2:24" x14ac:dyDescent="0.25">
      <c r="B128" s="11">
        <f>[1]code!B125</f>
        <v>427</v>
      </c>
      <c r="C128" s="2" t="str">
        <f>[1]code!C125</f>
        <v>فلفل كورى</v>
      </c>
      <c r="D128" s="2" t="str">
        <f>[1]code!D125</f>
        <v>مواد غذائية (باك ستريت)</v>
      </c>
      <c r="E128" s="1" t="str">
        <f>[1]code!E125</f>
        <v>كيلو</v>
      </c>
      <c r="F128" s="2" t="str">
        <f>[1]code!F125</f>
        <v>العربية</v>
      </c>
      <c r="G128" s="12">
        <f>[1]code!G125</f>
        <v>0</v>
      </c>
      <c r="I128" s="10">
        <v>0</v>
      </c>
      <c r="J128" s="10">
        <v>0</v>
      </c>
      <c r="K128" s="10">
        <v>0</v>
      </c>
      <c r="L128" s="10">
        <v>0</v>
      </c>
      <c r="M128" s="10" t="str">
        <f>IFERROR(VLOOKUP($B128,[1]INV!$B$7:$H$2575,7,0),"")</f>
        <v/>
      </c>
      <c r="N128" s="10"/>
      <c r="O128" s="10"/>
      <c r="P128" s="10"/>
      <c r="Q128" s="10"/>
      <c r="R128" s="10"/>
      <c r="S128" s="10"/>
      <c r="T128" s="10"/>
      <c r="U128" s="1">
        <f t="shared" si="4"/>
        <v>0</v>
      </c>
      <c r="V128" s="1">
        <f t="shared" si="5"/>
        <v>0</v>
      </c>
      <c r="W128" s="1">
        <f t="shared" si="6"/>
        <v>0</v>
      </c>
      <c r="X128" s="1">
        <f t="shared" si="7"/>
        <v>0</v>
      </c>
    </row>
    <row r="129" spans="2:24" x14ac:dyDescent="0.25">
      <c r="B129" s="11">
        <f>[1]code!B126</f>
        <v>718</v>
      </c>
      <c r="C129" s="2" t="str">
        <f>[1]code!C126</f>
        <v>جبنة جران مورايفا</v>
      </c>
      <c r="D129" s="2" t="str">
        <f>[1]code!D126</f>
        <v>مواد غذائية (باك ستريت)</v>
      </c>
      <c r="E129" s="1" t="str">
        <f>[1]code!E126</f>
        <v>كيلو</v>
      </c>
      <c r="F129" s="2" t="str">
        <f>[1]code!F126</f>
        <v>مشتريات مباشرة</v>
      </c>
      <c r="G129" s="12">
        <f>[1]code!G126</f>
        <v>0</v>
      </c>
      <c r="I129" s="10">
        <v>0</v>
      </c>
      <c r="J129" s="10">
        <v>0</v>
      </c>
      <c r="K129" s="10">
        <v>0</v>
      </c>
      <c r="L129" s="10">
        <v>0</v>
      </c>
      <c r="M129" s="10" t="str">
        <f>IFERROR(VLOOKUP($B129,[1]INV!$B$7:$H$2575,7,0),"")</f>
        <v/>
      </c>
      <c r="N129" s="10"/>
      <c r="O129" s="10"/>
      <c r="P129" s="10"/>
      <c r="Q129" s="10"/>
      <c r="R129" s="10"/>
      <c r="S129" s="10"/>
      <c r="T129" s="10"/>
      <c r="U129" s="1">
        <f t="shared" si="4"/>
        <v>0</v>
      </c>
      <c r="V129" s="1">
        <f t="shared" si="5"/>
        <v>0</v>
      </c>
      <c r="W129" s="1">
        <f t="shared" si="6"/>
        <v>0</v>
      </c>
      <c r="X129" s="1">
        <f t="shared" si="7"/>
        <v>0</v>
      </c>
    </row>
    <row r="130" spans="2:24" x14ac:dyDescent="0.25">
      <c r="B130" s="11">
        <f>[1]code!B127</f>
        <v>669</v>
      </c>
      <c r="C130" s="2" t="str">
        <f>[1]code!C127</f>
        <v>بودر مرقة دجاج</v>
      </c>
      <c r="D130" s="2" t="str">
        <f>[1]code!D127</f>
        <v>مواد غذائية (باك ستريت)</v>
      </c>
      <c r="E130" s="1" t="str">
        <f>[1]code!E127</f>
        <v>كيلو</v>
      </c>
      <c r="F130" s="2" t="str">
        <f>[1]code!F127</f>
        <v>اليسر</v>
      </c>
      <c r="G130" s="12">
        <f>[1]code!G127</f>
        <v>0</v>
      </c>
      <c r="I130" s="10">
        <v>0</v>
      </c>
      <c r="J130" s="10">
        <v>0</v>
      </c>
      <c r="K130" s="10">
        <v>0</v>
      </c>
      <c r="L130" s="10">
        <v>0</v>
      </c>
      <c r="M130" s="10" t="str">
        <f>IFERROR(VLOOKUP($B130,[1]INV!$B$7:$H$2575,7,0),"")</f>
        <v/>
      </c>
      <c r="N130" s="10"/>
      <c r="O130" s="10"/>
      <c r="P130" s="10"/>
      <c r="Q130" s="10"/>
      <c r="R130" s="10"/>
      <c r="S130" s="10"/>
      <c r="T130" s="10"/>
      <c r="U130" s="1">
        <f t="shared" si="4"/>
        <v>0</v>
      </c>
      <c r="V130" s="1">
        <f t="shared" si="5"/>
        <v>0</v>
      </c>
      <c r="W130" s="1">
        <f t="shared" si="6"/>
        <v>0</v>
      </c>
      <c r="X130" s="1">
        <f t="shared" si="7"/>
        <v>0</v>
      </c>
    </row>
    <row r="131" spans="2:24" x14ac:dyDescent="0.25">
      <c r="B131" s="11">
        <f>[1]code!B128</f>
        <v>808</v>
      </c>
      <c r="C131" s="2" t="str">
        <f>[1]code!C128</f>
        <v>ديمجلاس بودر</v>
      </c>
      <c r="D131" s="2" t="str">
        <f>[1]code!D128</f>
        <v>مواد غذائية (باك ستريت)</v>
      </c>
      <c r="E131" s="1" t="str">
        <f>[1]code!E128</f>
        <v>كيلو</v>
      </c>
      <c r="F131" s="2" t="str">
        <f>[1]code!F128</f>
        <v>اليسر</v>
      </c>
      <c r="G131" s="12">
        <f>[1]code!G128</f>
        <v>0</v>
      </c>
      <c r="I131" s="10">
        <v>0</v>
      </c>
      <c r="J131" s="10">
        <v>0</v>
      </c>
      <c r="K131" s="10">
        <v>0</v>
      </c>
      <c r="L131" s="10">
        <v>0</v>
      </c>
      <c r="M131" s="10" t="str">
        <f>IFERROR(VLOOKUP($B131,[1]INV!$B$7:$H$2575,7,0),"")</f>
        <v/>
      </c>
      <c r="N131" s="10"/>
      <c r="O131" s="10"/>
      <c r="P131" s="10"/>
      <c r="Q131" s="10"/>
      <c r="R131" s="10"/>
      <c r="S131" s="10"/>
      <c r="T131" s="10"/>
      <c r="U131" s="1">
        <f t="shared" si="4"/>
        <v>0</v>
      </c>
      <c r="V131" s="1">
        <f t="shared" si="5"/>
        <v>0</v>
      </c>
      <c r="W131" s="1">
        <f t="shared" si="6"/>
        <v>0</v>
      </c>
      <c r="X131" s="1">
        <f t="shared" si="7"/>
        <v>0</v>
      </c>
    </row>
    <row r="132" spans="2:24" x14ac:dyDescent="0.25">
      <c r="B132" s="11">
        <f>[1]code!B129</f>
        <v>708</v>
      </c>
      <c r="C132" s="2" t="str">
        <f>[1]code!C129</f>
        <v>نشا</v>
      </c>
      <c r="D132" s="2" t="str">
        <f>[1]code!D129</f>
        <v>مواد غذائية (باك ستريت)</v>
      </c>
      <c r="E132" s="1" t="str">
        <f>[1]code!E129</f>
        <v>كيلو</v>
      </c>
      <c r="F132" s="2" t="str">
        <f>[1]code!F129</f>
        <v>مشتريات مباشرة</v>
      </c>
      <c r="G132" s="12">
        <f>[1]code!G129</f>
        <v>0</v>
      </c>
      <c r="I132" s="10">
        <v>0</v>
      </c>
      <c r="J132" s="10">
        <v>0</v>
      </c>
      <c r="K132" s="10">
        <v>0</v>
      </c>
      <c r="L132" s="10">
        <v>0</v>
      </c>
      <c r="M132" s="10" t="str">
        <f>IFERROR(VLOOKUP($B132,[1]INV!$B$7:$H$2575,7,0),"")</f>
        <v/>
      </c>
      <c r="N132" s="10"/>
      <c r="O132" s="10"/>
      <c r="P132" s="10"/>
      <c r="Q132" s="10"/>
      <c r="R132" s="10"/>
      <c r="S132" s="10"/>
      <c r="T132" s="10"/>
      <c r="U132" s="1">
        <f t="shared" si="4"/>
        <v>0</v>
      </c>
      <c r="V132" s="1">
        <f t="shared" si="5"/>
        <v>0</v>
      </c>
      <c r="W132" s="1">
        <f t="shared" si="6"/>
        <v>0</v>
      </c>
      <c r="X132" s="1">
        <f t="shared" si="7"/>
        <v>0</v>
      </c>
    </row>
    <row r="133" spans="2:24" x14ac:dyDescent="0.25">
      <c r="B133" s="11">
        <f>[1]code!B130</f>
        <v>676</v>
      </c>
      <c r="C133" s="2" t="str">
        <f>[1]code!C130</f>
        <v>زعفران</v>
      </c>
      <c r="D133" s="2" t="str">
        <f>[1]code!D130</f>
        <v>مواد غذائية (باك ستريت)</v>
      </c>
      <c r="E133" s="1" t="str">
        <f>[1]code!E130</f>
        <v>جرام</v>
      </c>
      <c r="F133" s="2" t="str">
        <f>[1]code!F130</f>
        <v>مشتريات مباشرة</v>
      </c>
      <c r="G133" s="12">
        <f>[1]code!G130</f>
        <v>0</v>
      </c>
      <c r="I133" s="10">
        <v>0</v>
      </c>
      <c r="J133" s="10">
        <v>0</v>
      </c>
      <c r="K133" s="10">
        <v>0</v>
      </c>
      <c r="L133" s="10">
        <v>0</v>
      </c>
      <c r="M133" s="10" t="str">
        <f>IFERROR(VLOOKUP($B133,[1]INV!$B$7:$H$2575,7,0),"")</f>
        <v/>
      </c>
      <c r="N133" s="10"/>
      <c r="O133" s="10"/>
      <c r="P133" s="10"/>
      <c r="Q133" s="10"/>
      <c r="R133" s="10"/>
      <c r="S133" s="10"/>
      <c r="T133" s="10"/>
      <c r="U133" s="1">
        <f t="shared" si="4"/>
        <v>0</v>
      </c>
      <c r="V133" s="1">
        <f t="shared" si="5"/>
        <v>0</v>
      </c>
      <c r="W133" s="1">
        <f t="shared" si="6"/>
        <v>0</v>
      </c>
      <c r="X133" s="1">
        <f t="shared" si="7"/>
        <v>0</v>
      </c>
    </row>
    <row r="134" spans="2:24" x14ac:dyDescent="0.25">
      <c r="B134" s="11">
        <f>[1]code!B131</f>
        <v>701</v>
      </c>
      <c r="C134" s="2" t="str">
        <f>[1]code!C131</f>
        <v>بابريكا مدخن</v>
      </c>
      <c r="D134" s="2" t="str">
        <f>[1]code!D131</f>
        <v>مواد غذائية (باك ستريت)</v>
      </c>
      <c r="E134" s="1" t="str">
        <f>[1]code!E131</f>
        <v>كيلو</v>
      </c>
      <c r="F134" s="2" t="str">
        <f>[1]code!F131</f>
        <v>تموين الشرق - فريشلي</v>
      </c>
      <c r="G134" s="12">
        <f>[1]code!G131</f>
        <v>0</v>
      </c>
      <c r="I134" s="10">
        <v>0</v>
      </c>
      <c r="J134" s="10">
        <v>0</v>
      </c>
      <c r="K134" s="10">
        <v>0</v>
      </c>
      <c r="L134" s="10">
        <v>0</v>
      </c>
      <c r="M134" s="10" t="str">
        <f>IFERROR(VLOOKUP($B134,[1]INV!$B$7:$H$2575,7,0),"")</f>
        <v/>
      </c>
      <c r="N134" s="10"/>
      <c r="O134" s="10"/>
      <c r="P134" s="10"/>
      <c r="Q134" s="10"/>
      <c r="R134" s="10"/>
      <c r="S134" s="10"/>
      <c r="T134" s="10"/>
      <c r="U134" s="1">
        <f t="shared" si="4"/>
        <v>0</v>
      </c>
      <c r="V134" s="1">
        <f t="shared" si="5"/>
        <v>0</v>
      </c>
      <c r="W134" s="1">
        <f t="shared" si="6"/>
        <v>0</v>
      </c>
      <c r="X134" s="1">
        <f t="shared" si="7"/>
        <v>0</v>
      </c>
    </row>
    <row r="135" spans="2:24" x14ac:dyDescent="0.25">
      <c r="B135" s="11">
        <f>[1]code!B132</f>
        <v>726</v>
      </c>
      <c r="C135" s="2" t="str">
        <f>[1]code!C132</f>
        <v>بصل بودر</v>
      </c>
      <c r="D135" s="2" t="str">
        <f>[1]code!D132</f>
        <v>مواد غذائية (باك ستريت)</v>
      </c>
      <c r="E135" s="1" t="str">
        <f>[1]code!E132</f>
        <v>كيلو</v>
      </c>
      <c r="F135" s="2" t="str">
        <f>[1]code!F132</f>
        <v>تموين الشرق - فريشلي</v>
      </c>
      <c r="G135" s="12">
        <f>[1]code!G132</f>
        <v>0</v>
      </c>
      <c r="I135" s="10">
        <v>0</v>
      </c>
      <c r="J135" s="10">
        <v>0</v>
      </c>
      <c r="K135" s="10">
        <v>0</v>
      </c>
      <c r="L135" s="10">
        <v>0</v>
      </c>
      <c r="M135" s="10" t="str">
        <f>IFERROR(VLOOKUP($B135,[1]INV!$B$7:$H$2575,7,0),"")</f>
        <v/>
      </c>
      <c r="N135" s="10"/>
      <c r="O135" s="10"/>
      <c r="P135" s="10"/>
      <c r="Q135" s="10"/>
      <c r="R135" s="10"/>
      <c r="S135" s="10"/>
      <c r="T135" s="10"/>
      <c r="U135" s="1">
        <f t="shared" si="4"/>
        <v>0</v>
      </c>
      <c r="V135" s="1">
        <f t="shared" si="5"/>
        <v>0</v>
      </c>
      <c r="W135" s="1">
        <f t="shared" si="6"/>
        <v>0</v>
      </c>
      <c r="X135" s="1">
        <f t="shared" si="7"/>
        <v>0</v>
      </c>
    </row>
    <row r="136" spans="2:24" x14ac:dyDescent="0.25">
      <c r="B136" s="11">
        <f>[1]code!B133</f>
        <v>768</v>
      </c>
      <c r="C136" s="2" t="str">
        <f>[1]code!C133</f>
        <v>ثوم بودر</v>
      </c>
      <c r="D136" s="2" t="str">
        <f>[1]code!D133</f>
        <v>مواد غذائية (باك ستريت)</v>
      </c>
      <c r="E136" s="1" t="str">
        <f>[1]code!E133</f>
        <v>كيلو</v>
      </c>
      <c r="F136" s="2" t="str">
        <f>[1]code!F133</f>
        <v>تموين الشرق - فريشلي</v>
      </c>
      <c r="G136" s="12">
        <f>[1]code!G133</f>
        <v>0</v>
      </c>
      <c r="I136" s="10">
        <v>0</v>
      </c>
      <c r="J136" s="10">
        <v>0</v>
      </c>
      <c r="K136" s="10">
        <v>0</v>
      </c>
      <c r="L136" s="10">
        <v>0</v>
      </c>
      <c r="M136" s="10" t="str">
        <f>IFERROR(VLOOKUP($B136,[1]INV!$B$7:$H$2575,7,0),"")</f>
        <v/>
      </c>
      <c r="N136" s="10"/>
      <c r="O136" s="10"/>
      <c r="P136" s="10"/>
      <c r="Q136" s="10"/>
      <c r="R136" s="10"/>
      <c r="S136" s="10"/>
      <c r="T136" s="10"/>
      <c r="U136" s="1">
        <f t="shared" ref="U136:U199" si="8">IF($I136="",$G136,$I136)</f>
        <v>0</v>
      </c>
      <c r="V136" s="1">
        <f t="shared" ref="V136:V199" si="9">IF($J136="",$I136,$J136)</f>
        <v>0</v>
      </c>
      <c r="W136" s="1">
        <f t="shared" ref="W136:W199" si="10">IF($K136="",$J136,$K136)</f>
        <v>0</v>
      </c>
      <c r="X136" s="1">
        <f t="shared" ref="X136:X199" si="11">IF($L136="",$K136,$L136)</f>
        <v>0</v>
      </c>
    </row>
    <row r="137" spans="2:24" x14ac:dyDescent="0.25">
      <c r="B137" s="11">
        <f>[1]code!B134</f>
        <v>807</v>
      </c>
      <c r="C137" s="2" t="str">
        <f>[1]code!C134</f>
        <v>بهارات إيطالية</v>
      </c>
      <c r="D137" s="2" t="str">
        <f>[1]code!D134</f>
        <v>مواد غذائية (باك ستريت)</v>
      </c>
      <c r="E137" s="1" t="str">
        <f>[1]code!E134</f>
        <v>كيلو</v>
      </c>
      <c r="F137" s="2" t="str">
        <f>[1]code!F134</f>
        <v>تموين الشرق - فريشلي</v>
      </c>
      <c r="G137" s="12">
        <f>[1]code!G134</f>
        <v>0</v>
      </c>
      <c r="I137" s="10">
        <v>0</v>
      </c>
      <c r="J137" s="10">
        <v>0</v>
      </c>
      <c r="K137" s="10">
        <v>0</v>
      </c>
      <c r="L137" s="10">
        <v>0</v>
      </c>
      <c r="M137" s="10" t="str">
        <f>IFERROR(VLOOKUP($B137,[1]INV!$B$7:$H$2575,7,0),"")</f>
        <v/>
      </c>
      <c r="N137" s="10"/>
      <c r="O137" s="10"/>
      <c r="P137" s="10"/>
      <c r="Q137" s="10"/>
      <c r="R137" s="10"/>
      <c r="S137" s="10"/>
      <c r="T137" s="10"/>
      <c r="U137" s="1">
        <f t="shared" si="8"/>
        <v>0</v>
      </c>
      <c r="V137" s="1">
        <f t="shared" si="9"/>
        <v>0</v>
      </c>
      <c r="W137" s="1">
        <f t="shared" si="10"/>
        <v>0</v>
      </c>
      <c r="X137" s="1">
        <f t="shared" si="11"/>
        <v>0</v>
      </c>
    </row>
    <row r="138" spans="2:24" x14ac:dyDescent="0.25">
      <c r="B138" s="11">
        <f>[1]code!B135</f>
        <v>764</v>
      </c>
      <c r="C138" s="2" t="str">
        <f>[1]code!C135</f>
        <v>كركم</v>
      </c>
      <c r="D138" s="2" t="str">
        <f>[1]code!D135</f>
        <v>مواد غذائية (باك ستريت)</v>
      </c>
      <c r="E138" s="1" t="str">
        <f>[1]code!E135</f>
        <v>كيلو</v>
      </c>
      <c r="F138" s="2" t="str">
        <f>[1]code!F135</f>
        <v>مشتريات مباشرة</v>
      </c>
      <c r="G138" s="12">
        <f>[1]code!G135</f>
        <v>15.41</v>
      </c>
      <c r="I138" s="10">
        <v>15.41</v>
      </c>
      <c r="J138" s="10">
        <v>15.41</v>
      </c>
      <c r="K138" s="10">
        <v>15.41</v>
      </c>
      <c r="L138" s="10">
        <v>15.41</v>
      </c>
      <c r="M138" s="10" t="str">
        <f>IFERROR(VLOOKUP($B138,[1]INV!$B$7:$H$2575,7,0),"")</f>
        <v/>
      </c>
      <c r="N138" s="10"/>
      <c r="O138" s="10"/>
      <c r="P138" s="10"/>
      <c r="Q138" s="10"/>
      <c r="R138" s="10"/>
      <c r="S138" s="10"/>
      <c r="T138" s="10"/>
      <c r="U138" s="1">
        <f t="shared" si="8"/>
        <v>15.41</v>
      </c>
      <c r="V138" s="1">
        <f t="shared" si="9"/>
        <v>15.41</v>
      </c>
      <c r="W138" s="1">
        <f t="shared" si="10"/>
        <v>15.41</v>
      </c>
      <c r="X138" s="1">
        <f t="shared" si="11"/>
        <v>15.41</v>
      </c>
    </row>
    <row r="139" spans="2:24" x14ac:dyDescent="0.25">
      <c r="B139" s="11">
        <f>[1]code!B136</f>
        <v>711</v>
      </c>
      <c r="C139" s="2" t="str">
        <f>[1]code!C136</f>
        <v>كارى</v>
      </c>
      <c r="D139" s="2" t="str">
        <f>[1]code!D136</f>
        <v>مواد غذائية (باك ستريت)</v>
      </c>
      <c r="E139" s="1" t="str">
        <f>[1]code!E136</f>
        <v>كيلو</v>
      </c>
      <c r="F139" s="2" t="str">
        <f>[1]code!F136</f>
        <v>مشتريات مباشرة</v>
      </c>
      <c r="G139" s="12">
        <f>[1]code!G136</f>
        <v>32.200000000000003</v>
      </c>
      <c r="I139" s="10">
        <v>32.200000000000003</v>
      </c>
      <c r="J139" s="10">
        <v>32.200000000000003</v>
      </c>
      <c r="K139" s="10">
        <v>32.200000000000003</v>
      </c>
      <c r="L139" s="10">
        <v>32.200000000000003</v>
      </c>
      <c r="M139" s="10" t="str">
        <f>IFERROR(VLOOKUP($B139,[1]INV!$B$7:$H$2575,7,0),"")</f>
        <v/>
      </c>
      <c r="N139" s="10"/>
      <c r="O139" s="10"/>
      <c r="P139" s="10"/>
      <c r="Q139" s="10"/>
      <c r="R139" s="10"/>
      <c r="S139" s="10"/>
      <c r="T139" s="10"/>
      <c r="U139" s="1">
        <f t="shared" si="8"/>
        <v>32.200000000000003</v>
      </c>
      <c r="V139" s="1">
        <f t="shared" si="9"/>
        <v>32.200000000000003</v>
      </c>
      <c r="W139" s="1">
        <f t="shared" si="10"/>
        <v>32.200000000000003</v>
      </c>
      <c r="X139" s="1">
        <f t="shared" si="11"/>
        <v>32.200000000000003</v>
      </c>
    </row>
    <row r="140" spans="2:24" x14ac:dyDescent="0.25">
      <c r="B140" s="11">
        <f>[1]code!B137</f>
        <v>730</v>
      </c>
      <c r="C140" s="2" t="str">
        <f>[1]code!C137</f>
        <v>كربونات صوديوم</v>
      </c>
      <c r="D140" s="2" t="str">
        <f>[1]code!D137</f>
        <v>مواد غذائية (باك ستريت)</v>
      </c>
      <c r="E140" s="1" t="str">
        <f>[1]code!E137</f>
        <v>كيلو</v>
      </c>
      <c r="F140" s="2" t="str">
        <f>[1]code!F137</f>
        <v>مشتريات مباشرة</v>
      </c>
      <c r="G140" s="12">
        <f>[1]code!G137</f>
        <v>0</v>
      </c>
      <c r="I140" s="10">
        <v>0</v>
      </c>
      <c r="J140" s="10">
        <v>0</v>
      </c>
      <c r="K140" s="10">
        <v>0</v>
      </c>
      <c r="L140" s="10">
        <v>0</v>
      </c>
      <c r="M140" s="10" t="str">
        <f>IFERROR(VLOOKUP($B140,[1]INV!$B$7:$H$2575,7,0),"")</f>
        <v/>
      </c>
      <c r="N140" s="10"/>
      <c r="O140" s="10"/>
      <c r="P140" s="10"/>
      <c r="Q140" s="10"/>
      <c r="R140" s="10"/>
      <c r="S140" s="10"/>
      <c r="T140" s="10"/>
      <c r="U140" s="1">
        <f t="shared" si="8"/>
        <v>0</v>
      </c>
      <c r="V140" s="1">
        <f t="shared" si="9"/>
        <v>0</v>
      </c>
      <c r="W140" s="1">
        <f t="shared" si="10"/>
        <v>0</v>
      </c>
      <c r="X140" s="1">
        <f t="shared" si="11"/>
        <v>0</v>
      </c>
    </row>
    <row r="141" spans="2:24" x14ac:dyDescent="0.25">
      <c r="B141" s="11">
        <f>[1]code!B138</f>
        <v>725</v>
      </c>
      <c r="C141" s="2" t="str">
        <f>[1]code!C138</f>
        <v>بهارات كاجون</v>
      </c>
      <c r="D141" s="2" t="str">
        <f>[1]code!D138</f>
        <v>مواد غذائية (باك ستريت)</v>
      </c>
      <c r="E141" s="1" t="str">
        <f>[1]code!E138</f>
        <v>كيلو</v>
      </c>
      <c r="F141" s="2" t="str">
        <f>[1]code!F138</f>
        <v>تموين الشرق - فريشلي</v>
      </c>
      <c r="G141" s="12">
        <f>[1]code!G138</f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f>IFERROR(VLOOKUP($B141,[1]INV!$B$7:$H$2575,7,0),"")</f>
        <v>76.177149999999997</v>
      </c>
      <c r="N141" s="10"/>
      <c r="O141" s="10"/>
      <c r="P141" s="10"/>
      <c r="Q141" s="10"/>
      <c r="R141" s="10"/>
      <c r="S141" s="10"/>
      <c r="T141" s="10"/>
      <c r="U141" s="1">
        <f t="shared" si="8"/>
        <v>0</v>
      </c>
      <c r="V141" s="1">
        <f t="shared" si="9"/>
        <v>0</v>
      </c>
      <c r="W141" s="1">
        <f t="shared" si="10"/>
        <v>0</v>
      </c>
      <c r="X141" s="1">
        <f t="shared" si="11"/>
        <v>0</v>
      </c>
    </row>
    <row r="142" spans="2:24" x14ac:dyDescent="0.25">
      <c r="B142" s="11">
        <f>[1]code!B139</f>
        <v>732</v>
      </c>
      <c r="C142" s="2" t="str">
        <f>[1]code!C139</f>
        <v>هونداشي</v>
      </c>
      <c r="D142" s="2" t="str">
        <f>[1]code!D139</f>
        <v>مواد غذائية (باك ستريت)</v>
      </c>
      <c r="E142" s="1" t="str">
        <f>[1]code!E139</f>
        <v>كيلو</v>
      </c>
      <c r="F142" s="2" t="str">
        <f>[1]code!F139</f>
        <v>العربية</v>
      </c>
      <c r="G142" s="12">
        <f>[1]code!G139</f>
        <v>0</v>
      </c>
      <c r="I142" s="10">
        <v>0</v>
      </c>
      <c r="J142" s="10">
        <v>0</v>
      </c>
      <c r="K142" s="10">
        <v>0</v>
      </c>
      <c r="L142" s="10">
        <v>0</v>
      </c>
      <c r="M142" s="10" t="str">
        <f>IFERROR(VLOOKUP($B142,[1]INV!$B$7:$H$2575,7,0),"")</f>
        <v/>
      </c>
      <c r="N142" s="10"/>
      <c r="O142" s="10"/>
      <c r="P142" s="10"/>
      <c r="Q142" s="10"/>
      <c r="R142" s="10"/>
      <c r="S142" s="10"/>
      <c r="T142" s="10"/>
      <c r="U142" s="1">
        <f t="shared" si="8"/>
        <v>0</v>
      </c>
      <c r="V142" s="1">
        <f t="shared" si="9"/>
        <v>0</v>
      </c>
      <c r="W142" s="1">
        <f t="shared" si="10"/>
        <v>0</v>
      </c>
      <c r="X142" s="1">
        <f t="shared" si="11"/>
        <v>0</v>
      </c>
    </row>
    <row r="143" spans="2:24" x14ac:dyDescent="0.25">
      <c r="B143" s="11">
        <f>[1]code!B140</f>
        <v>809</v>
      </c>
      <c r="C143" s="2" t="str">
        <f>[1]code!C140</f>
        <v>توجراشى</v>
      </c>
      <c r="D143" s="2" t="str">
        <f>[1]code!D140</f>
        <v>مواد غذائية (باك ستريت)</v>
      </c>
      <c r="E143" s="1" t="str">
        <f>[1]code!E140</f>
        <v>كيلو</v>
      </c>
      <c r="F143" s="2" t="str">
        <f>[1]code!F140</f>
        <v>العربية</v>
      </c>
      <c r="G143" s="12">
        <f>[1]code!G140</f>
        <v>0</v>
      </c>
      <c r="I143" s="10">
        <v>0</v>
      </c>
      <c r="J143" s="10">
        <v>0</v>
      </c>
      <c r="K143" s="10">
        <v>0</v>
      </c>
      <c r="L143" s="10">
        <v>0</v>
      </c>
      <c r="M143" s="10" t="str">
        <f>IFERROR(VLOOKUP($B143,[1]INV!$B$7:$H$2575,7,0),"")</f>
        <v/>
      </c>
      <c r="N143" s="10"/>
      <c r="O143" s="10"/>
      <c r="P143" s="10"/>
      <c r="Q143" s="10"/>
      <c r="R143" s="10"/>
      <c r="S143" s="10"/>
      <c r="T143" s="10"/>
      <c r="U143" s="1">
        <f t="shared" si="8"/>
        <v>0</v>
      </c>
      <c r="V143" s="1">
        <f t="shared" si="9"/>
        <v>0</v>
      </c>
      <c r="W143" s="1">
        <f t="shared" si="10"/>
        <v>0</v>
      </c>
      <c r="X143" s="1">
        <f t="shared" si="11"/>
        <v>0</v>
      </c>
    </row>
    <row r="144" spans="2:24" x14ac:dyDescent="0.25">
      <c r="B144" s="11">
        <f>[1]code!B141</f>
        <v>788</v>
      </c>
      <c r="C144" s="2" t="str">
        <f>[1]code!C141</f>
        <v>سويت بابريكا</v>
      </c>
      <c r="D144" s="2" t="str">
        <f>[1]code!D141</f>
        <v>مواد غذائية (باك ستريت)</v>
      </c>
      <c r="E144" s="1" t="str">
        <f>[1]code!E141</f>
        <v>كيلو</v>
      </c>
      <c r="F144" s="2" t="str">
        <f>[1]code!F141</f>
        <v>تموين الشرق - فريشلي</v>
      </c>
      <c r="G144" s="12">
        <f>[1]code!G141</f>
        <v>0</v>
      </c>
      <c r="I144" s="10">
        <v>0</v>
      </c>
      <c r="J144" s="10">
        <v>0</v>
      </c>
      <c r="K144" s="10">
        <v>0</v>
      </c>
      <c r="L144" s="10">
        <v>0</v>
      </c>
      <c r="M144" s="10" t="str">
        <f>IFERROR(VLOOKUP($B144,[1]INV!$B$7:$H$2575,7,0),"")</f>
        <v/>
      </c>
      <c r="N144" s="10"/>
      <c r="O144" s="10"/>
      <c r="P144" s="10"/>
      <c r="Q144" s="10"/>
      <c r="R144" s="10"/>
      <c r="S144" s="10"/>
      <c r="T144" s="10"/>
      <c r="U144" s="1">
        <f t="shared" si="8"/>
        <v>0</v>
      </c>
      <c r="V144" s="1">
        <f t="shared" si="9"/>
        <v>0</v>
      </c>
      <c r="W144" s="1">
        <f t="shared" si="10"/>
        <v>0</v>
      </c>
      <c r="X144" s="1">
        <f t="shared" si="11"/>
        <v>0</v>
      </c>
    </row>
    <row r="145" spans="2:24" x14ac:dyDescent="0.25">
      <c r="B145" s="11">
        <f>[1]code!B142</f>
        <v>810</v>
      </c>
      <c r="C145" s="2" t="str">
        <f>[1]code!C142</f>
        <v>ورق زعتر</v>
      </c>
      <c r="D145" s="2" t="str">
        <f>[1]code!D142</f>
        <v>مواد غذائية (باك ستريت)</v>
      </c>
      <c r="E145" s="1" t="str">
        <f>[1]code!E142</f>
        <v>كيلو</v>
      </c>
      <c r="F145" s="2" t="str">
        <f>[1]code!F142</f>
        <v>تموين الشرق - فريشلي</v>
      </c>
      <c r="G145" s="12">
        <f>[1]code!G142</f>
        <v>0</v>
      </c>
      <c r="I145" s="10">
        <v>0</v>
      </c>
      <c r="J145" s="10">
        <v>0</v>
      </c>
      <c r="K145" s="10">
        <v>0</v>
      </c>
      <c r="L145" s="10">
        <v>0</v>
      </c>
      <c r="M145" s="10" t="str">
        <f>IFERROR(VLOOKUP($B145,[1]INV!$B$7:$H$2575,7,0),"")</f>
        <v/>
      </c>
      <c r="N145" s="10"/>
      <c r="O145" s="10"/>
      <c r="P145" s="10"/>
      <c r="Q145" s="10"/>
      <c r="R145" s="10"/>
      <c r="S145" s="10"/>
      <c r="T145" s="10"/>
      <c r="U145" s="1">
        <f t="shared" si="8"/>
        <v>0</v>
      </c>
      <c r="V145" s="1">
        <f t="shared" si="9"/>
        <v>0</v>
      </c>
      <c r="W145" s="1">
        <f t="shared" si="10"/>
        <v>0</v>
      </c>
      <c r="X145" s="1">
        <f t="shared" si="11"/>
        <v>0</v>
      </c>
    </row>
    <row r="146" spans="2:24" x14ac:dyDescent="0.25">
      <c r="B146" s="11">
        <f>[1]code!B143</f>
        <v>728</v>
      </c>
      <c r="C146" s="2" t="str">
        <f>[1]code!C143</f>
        <v>زبدة فول سودانى</v>
      </c>
      <c r="D146" s="2" t="str">
        <f>[1]code!D143</f>
        <v>مواد غذائية (باك ستريت)</v>
      </c>
      <c r="E146" s="1" t="str">
        <f>[1]code!E143</f>
        <v>كيلو</v>
      </c>
      <c r="F146" s="2" t="str">
        <f>[1]code!F143</f>
        <v>تموين الشرق - فريشلي</v>
      </c>
      <c r="G146" s="12">
        <f>[1]code!G143</f>
        <v>0</v>
      </c>
      <c r="I146" s="10">
        <v>0</v>
      </c>
      <c r="J146" s="10">
        <v>0</v>
      </c>
      <c r="K146" s="10">
        <v>0</v>
      </c>
      <c r="L146" s="10">
        <v>0</v>
      </c>
      <c r="M146" s="10" t="str">
        <f>IFERROR(VLOOKUP($B146,[1]INV!$B$7:$H$2575,7,0),"")</f>
        <v/>
      </c>
      <c r="N146" s="10"/>
      <c r="O146" s="10"/>
      <c r="P146" s="10"/>
      <c r="Q146" s="10"/>
      <c r="R146" s="10"/>
      <c r="S146" s="10"/>
      <c r="T146" s="10"/>
      <c r="U146" s="1">
        <f t="shared" si="8"/>
        <v>0</v>
      </c>
      <c r="V146" s="1">
        <f t="shared" si="9"/>
        <v>0</v>
      </c>
      <c r="W146" s="1">
        <f t="shared" si="10"/>
        <v>0</v>
      </c>
      <c r="X146" s="1">
        <f t="shared" si="11"/>
        <v>0</v>
      </c>
    </row>
    <row r="147" spans="2:24" x14ac:dyDescent="0.25">
      <c r="B147" s="11">
        <f>[1]code!B144</f>
        <v>761</v>
      </c>
      <c r="C147" s="2" t="str">
        <f>[1]code!C144</f>
        <v>شمار هندى</v>
      </c>
      <c r="D147" s="2" t="str">
        <f>[1]code!D144</f>
        <v>مواد غذائية (باك ستريت)</v>
      </c>
      <c r="E147" s="1" t="str">
        <f>[1]code!E144</f>
        <v>كيلو</v>
      </c>
      <c r="F147" s="2" t="str">
        <f>[1]code!F144</f>
        <v>مشتريات مباشرة</v>
      </c>
      <c r="G147" s="12">
        <f>[1]code!G144</f>
        <v>0</v>
      </c>
      <c r="I147" s="10">
        <v>0</v>
      </c>
      <c r="J147" s="10">
        <v>0</v>
      </c>
      <c r="K147" s="10">
        <v>0</v>
      </c>
      <c r="L147" s="10">
        <v>0</v>
      </c>
      <c r="M147" s="10" t="str">
        <f>IFERROR(VLOOKUP($B147,[1]INV!$B$7:$H$2575,7,0),"")</f>
        <v/>
      </c>
      <c r="N147" s="10"/>
      <c r="O147" s="10"/>
      <c r="P147" s="10"/>
      <c r="Q147" s="10"/>
      <c r="R147" s="10"/>
      <c r="S147" s="10"/>
      <c r="T147" s="10"/>
      <c r="U147" s="1">
        <f t="shared" si="8"/>
        <v>0</v>
      </c>
      <c r="V147" s="1">
        <f t="shared" si="9"/>
        <v>0</v>
      </c>
      <c r="W147" s="1">
        <f t="shared" si="10"/>
        <v>0</v>
      </c>
      <c r="X147" s="1">
        <f t="shared" si="11"/>
        <v>0</v>
      </c>
    </row>
    <row r="148" spans="2:24" x14ac:dyDescent="0.25">
      <c r="B148" s="11">
        <f>[1]code!B145</f>
        <v>688</v>
      </c>
      <c r="C148" s="2" t="str">
        <f>[1]code!C145</f>
        <v>تنظيف اسماك</v>
      </c>
      <c r="D148" s="2" t="str">
        <f>[1]code!D145</f>
        <v>مواد غذائية (باك ستريت)</v>
      </c>
      <c r="E148" s="1" t="str">
        <f>[1]code!E145</f>
        <v>----</v>
      </c>
      <c r="F148" s="2">
        <f>[1]code!F145</f>
        <v>0</v>
      </c>
      <c r="G148" s="12">
        <f>[1]code!G145</f>
        <v>0</v>
      </c>
      <c r="I148" s="10">
        <v>0</v>
      </c>
      <c r="J148" s="10">
        <v>0</v>
      </c>
      <c r="K148" s="10">
        <v>0</v>
      </c>
      <c r="L148" s="10">
        <v>0</v>
      </c>
      <c r="M148" s="10" t="str">
        <f>IFERROR(VLOOKUP($B148,[1]INV!$B$7:$H$2575,7,0),"")</f>
        <v/>
      </c>
      <c r="N148" s="10"/>
      <c r="O148" s="10"/>
      <c r="P148" s="10"/>
      <c r="Q148" s="10"/>
      <c r="R148" s="10"/>
      <c r="S148" s="10"/>
      <c r="T148" s="10"/>
      <c r="U148" s="1">
        <f t="shared" si="8"/>
        <v>0</v>
      </c>
      <c r="V148" s="1">
        <f t="shared" si="9"/>
        <v>0</v>
      </c>
      <c r="W148" s="1">
        <f t="shared" si="10"/>
        <v>0</v>
      </c>
      <c r="X148" s="1">
        <f t="shared" si="11"/>
        <v>0</v>
      </c>
    </row>
    <row r="149" spans="2:24" x14ac:dyDescent="0.25">
      <c r="B149" s="11">
        <f>[1]code!B146</f>
        <v>786</v>
      </c>
      <c r="C149" s="2" t="str">
        <f>[1]code!C146</f>
        <v>مخلل شرائح همبرجر32اونز</v>
      </c>
      <c r="D149" s="2" t="str">
        <f>[1]code!D146</f>
        <v>مواد غذائية (باك ستريت)</v>
      </c>
      <c r="E149" s="1" t="str">
        <f>[1]code!E146</f>
        <v>كيلو</v>
      </c>
      <c r="F149" s="2" t="str">
        <f>[1]code!F146</f>
        <v>تموين الشرق - فريشلي</v>
      </c>
      <c r="G149" s="12">
        <f>[1]code!G146</f>
        <v>0</v>
      </c>
      <c r="I149" s="10">
        <v>0</v>
      </c>
      <c r="J149" s="10">
        <v>0</v>
      </c>
      <c r="K149" s="10">
        <v>0</v>
      </c>
      <c r="L149" s="10">
        <v>0</v>
      </c>
      <c r="M149" s="10" t="str">
        <f>IFERROR(VLOOKUP($B149,[1]INV!$B$7:$H$2575,7,0),"")</f>
        <v/>
      </c>
      <c r="N149" s="10"/>
      <c r="O149" s="10"/>
      <c r="P149" s="10"/>
      <c r="Q149" s="10"/>
      <c r="R149" s="10"/>
      <c r="S149" s="10"/>
      <c r="T149" s="10"/>
      <c r="U149" s="1">
        <f t="shared" si="8"/>
        <v>0</v>
      </c>
      <c r="V149" s="1">
        <f t="shared" si="9"/>
        <v>0</v>
      </c>
      <c r="W149" s="1">
        <f t="shared" si="10"/>
        <v>0</v>
      </c>
      <c r="X149" s="1">
        <f t="shared" si="11"/>
        <v>0</v>
      </c>
    </row>
    <row r="150" spans="2:24" x14ac:dyDescent="0.25">
      <c r="B150" s="11">
        <f>[1]code!B147</f>
        <v>650</v>
      </c>
      <c r="C150" s="2" t="str">
        <f>[1]code!C147</f>
        <v>جبنة فيلاديفيا 1650 جرام</v>
      </c>
      <c r="D150" s="2" t="str">
        <f>[1]code!D147</f>
        <v>مواد غذائية (المشربية)</v>
      </c>
      <c r="E150" s="1" t="str">
        <f>[1]code!E147</f>
        <v>علبة</v>
      </c>
      <c r="F150" s="2" t="str">
        <f>[1]code!F147</f>
        <v>مشتريات مباشرة</v>
      </c>
      <c r="G150" s="12">
        <f>[1]code!G147</f>
        <v>0</v>
      </c>
      <c r="I150" s="10">
        <v>0</v>
      </c>
      <c r="J150" s="10">
        <v>0</v>
      </c>
      <c r="K150" s="10">
        <v>0</v>
      </c>
      <c r="L150" s="10">
        <v>0</v>
      </c>
      <c r="M150" s="10" t="str">
        <f>IFERROR(VLOOKUP($B150,[1]INV!$B$7:$H$2575,7,0),"")</f>
        <v/>
      </c>
      <c r="N150" s="10"/>
      <c r="O150" s="10"/>
      <c r="P150" s="10"/>
      <c r="Q150" s="10"/>
      <c r="R150" s="10"/>
      <c r="S150" s="10"/>
      <c r="T150" s="10"/>
      <c r="U150" s="1">
        <f t="shared" si="8"/>
        <v>0</v>
      </c>
      <c r="V150" s="1">
        <f t="shared" si="9"/>
        <v>0</v>
      </c>
      <c r="W150" s="1">
        <f t="shared" si="10"/>
        <v>0</v>
      </c>
      <c r="X150" s="1">
        <f t="shared" si="11"/>
        <v>0</v>
      </c>
    </row>
    <row r="151" spans="2:24" x14ac:dyDescent="0.25">
      <c r="B151" s="11">
        <f>[1]code!B148</f>
        <v>741</v>
      </c>
      <c r="C151" s="2" t="str">
        <f>[1]code!C148</f>
        <v>جبنة فيتا البقرات الثلاثة</v>
      </c>
      <c r="D151" s="2" t="str">
        <f>[1]code!D148</f>
        <v>مواد غذائية (المشربية)</v>
      </c>
      <c r="E151" s="1" t="str">
        <f>[1]code!E148</f>
        <v>كياو</v>
      </c>
      <c r="F151" s="2" t="str">
        <f>[1]code!F148</f>
        <v>المنجم</v>
      </c>
      <c r="G151" s="12">
        <f>[1]code!G148</f>
        <v>11.36</v>
      </c>
      <c r="I151" s="10">
        <v>11.36</v>
      </c>
      <c r="J151" s="10">
        <v>10.422450000000001</v>
      </c>
      <c r="K151" s="10">
        <v>9.5046823529411775</v>
      </c>
      <c r="L151" s="10">
        <v>9.5046823529411775</v>
      </c>
      <c r="M151" s="10" t="str">
        <f>IFERROR(VLOOKUP($B151,[1]INV!$B$7:$H$2575,7,0),"")</f>
        <v/>
      </c>
      <c r="N151" s="10"/>
      <c r="O151" s="10"/>
      <c r="P151" s="10"/>
      <c r="Q151" s="10"/>
      <c r="R151" s="10"/>
      <c r="S151" s="10"/>
      <c r="T151" s="10"/>
      <c r="U151" s="1">
        <f t="shared" si="8"/>
        <v>11.36</v>
      </c>
      <c r="V151" s="1">
        <f t="shared" si="9"/>
        <v>10.422450000000001</v>
      </c>
      <c r="W151" s="1">
        <f t="shared" si="10"/>
        <v>9.5046823529411775</v>
      </c>
      <c r="X151" s="1">
        <f t="shared" si="11"/>
        <v>9.5046823529411775</v>
      </c>
    </row>
    <row r="152" spans="2:24" x14ac:dyDescent="0.25">
      <c r="B152" s="11">
        <f>[1]code!B149</f>
        <v>459</v>
      </c>
      <c r="C152" s="2" t="str">
        <f>[1]code!C149</f>
        <v>كريمة خفق 1 لتر - المشربية</v>
      </c>
      <c r="D152" s="2" t="str">
        <f>[1]code!D149</f>
        <v>مواد غذائية (المشربية)</v>
      </c>
      <c r="E152" s="1" t="str">
        <f>[1]code!E149</f>
        <v>لتر</v>
      </c>
      <c r="F152" s="2" t="str">
        <f>[1]code!F149</f>
        <v>المراعى</v>
      </c>
      <c r="G152" s="12">
        <f>[1]code!G149</f>
        <v>26.299733333333336</v>
      </c>
      <c r="I152" s="10">
        <v>26.299733333333336</v>
      </c>
      <c r="J152" s="10">
        <v>39.988950000000003</v>
      </c>
      <c r="K152" s="10">
        <v>39.988950000000003</v>
      </c>
      <c r="L152" s="10">
        <v>40.4754</v>
      </c>
      <c r="M152" s="10">
        <f>IFERROR(VLOOKUP($B152,[1]INV!$B$7:$H$2575,7,0),"")</f>
        <v>38.949637500000001</v>
      </c>
      <c r="N152" s="10"/>
      <c r="O152" s="10"/>
      <c r="P152" s="10"/>
      <c r="Q152" s="10"/>
      <c r="R152" s="10"/>
      <c r="S152" s="10"/>
      <c r="T152" s="10"/>
      <c r="U152" s="1">
        <f t="shared" si="8"/>
        <v>26.299733333333336</v>
      </c>
      <c r="V152" s="1">
        <f t="shared" si="9"/>
        <v>39.988950000000003</v>
      </c>
      <c r="W152" s="1">
        <f t="shared" si="10"/>
        <v>39.988950000000003</v>
      </c>
      <c r="X152" s="1">
        <f t="shared" si="11"/>
        <v>40.4754</v>
      </c>
    </row>
    <row r="153" spans="2:24" x14ac:dyDescent="0.25">
      <c r="B153" s="11">
        <f>[1]code!B150</f>
        <v>292</v>
      </c>
      <c r="C153" s="2" t="str">
        <f>[1]code!C150</f>
        <v>ينسون فرط - المشربية</v>
      </c>
      <c r="D153" s="2" t="str">
        <f>[1]code!D150</f>
        <v>مواد غذائية (المشربية)</v>
      </c>
      <c r="E153" s="1" t="str">
        <f>[1]code!E150</f>
        <v>كيلو</v>
      </c>
      <c r="F153" s="2" t="str">
        <f>[1]code!F150</f>
        <v>مشتريات مباشرة</v>
      </c>
      <c r="G153" s="12">
        <f>[1]code!G150</f>
        <v>30.02</v>
      </c>
      <c r="I153" s="10">
        <v>30.02</v>
      </c>
      <c r="J153" s="10">
        <v>30.02</v>
      </c>
      <c r="K153" s="10">
        <v>30.02</v>
      </c>
      <c r="L153" s="10">
        <v>30.02</v>
      </c>
      <c r="M153" s="10" t="str">
        <f>IFERROR(VLOOKUP($B153,[1]INV!$B$7:$H$2575,7,0),"")</f>
        <v/>
      </c>
      <c r="N153" s="10"/>
      <c r="O153" s="10"/>
      <c r="P153" s="10"/>
      <c r="Q153" s="10"/>
      <c r="R153" s="10"/>
      <c r="S153" s="10"/>
      <c r="T153" s="10"/>
      <c r="U153" s="1">
        <f t="shared" si="8"/>
        <v>30.02</v>
      </c>
      <c r="V153" s="1">
        <f t="shared" si="9"/>
        <v>30.02</v>
      </c>
      <c r="W153" s="1">
        <f t="shared" si="10"/>
        <v>30.02</v>
      </c>
      <c r="X153" s="1">
        <f t="shared" si="11"/>
        <v>30.02</v>
      </c>
    </row>
    <row r="154" spans="2:24" x14ac:dyDescent="0.25">
      <c r="B154" s="11">
        <f>[1]code!B151</f>
        <v>293</v>
      </c>
      <c r="C154" s="2" t="str">
        <f>[1]code!C151</f>
        <v>حلبة حب - المشربية</v>
      </c>
      <c r="D154" s="2" t="str">
        <f>[1]code!D151</f>
        <v>مواد غذائية (المشربية)</v>
      </c>
      <c r="E154" s="1" t="str">
        <f>[1]code!E151</f>
        <v>كيلو</v>
      </c>
      <c r="F154" s="2" t="str">
        <f>[1]code!F151</f>
        <v>مشتريات مباشرة</v>
      </c>
      <c r="G154" s="12">
        <f>[1]code!G151</f>
        <v>20</v>
      </c>
      <c r="I154" s="10">
        <v>20</v>
      </c>
      <c r="J154" s="10">
        <v>20</v>
      </c>
      <c r="K154" s="10">
        <v>20</v>
      </c>
      <c r="L154" s="10">
        <v>20</v>
      </c>
      <c r="M154" s="10" t="str">
        <f>IFERROR(VLOOKUP($B154,[1]INV!$B$7:$H$2575,7,0),"")</f>
        <v/>
      </c>
      <c r="N154" s="10"/>
      <c r="O154" s="10"/>
      <c r="P154" s="10"/>
      <c r="Q154" s="10"/>
      <c r="R154" s="10"/>
      <c r="S154" s="10"/>
      <c r="T154" s="10"/>
      <c r="U154" s="1">
        <f t="shared" si="8"/>
        <v>20</v>
      </c>
      <c r="V154" s="1">
        <f t="shared" si="9"/>
        <v>20</v>
      </c>
      <c r="W154" s="1">
        <f t="shared" si="10"/>
        <v>20</v>
      </c>
      <c r="X154" s="1">
        <f t="shared" si="11"/>
        <v>20</v>
      </c>
    </row>
    <row r="155" spans="2:24" x14ac:dyDescent="0.25">
      <c r="B155" s="11">
        <f>[1]code!B152</f>
        <v>294</v>
      </c>
      <c r="C155" s="2" t="str">
        <f>[1]code!C152</f>
        <v>نعناع مجفف - المشربية</v>
      </c>
      <c r="D155" s="2" t="str">
        <f>[1]code!D152</f>
        <v>مواد غذائية (المشربية)</v>
      </c>
      <c r="E155" s="1" t="str">
        <f>[1]code!E152</f>
        <v>كيلو</v>
      </c>
      <c r="F155" s="2" t="str">
        <f>[1]code!F152</f>
        <v>مشتريات مباشرة</v>
      </c>
      <c r="G155" s="12">
        <f>[1]code!G152</f>
        <v>0</v>
      </c>
      <c r="I155" s="10">
        <v>0</v>
      </c>
      <c r="J155" s="10">
        <v>0</v>
      </c>
      <c r="K155" s="10">
        <v>0</v>
      </c>
      <c r="L155" s="10">
        <v>0</v>
      </c>
      <c r="M155" s="10" t="str">
        <f>IFERROR(VLOOKUP($B155,[1]INV!$B$7:$H$2575,7,0),"")</f>
        <v/>
      </c>
      <c r="N155" s="10"/>
      <c r="O155" s="10"/>
      <c r="P155" s="10"/>
      <c r="Q155" s="10"/>
      <c r="R155" s="10"/>
      <c r="S155" s="10"/>
      <c r="T155" s="10"/>
      <c r="U155" s="1">
        <f t="shared" si="8"/>
        <v>0</v>
      </c>
      <c r="V155" s="1">
        <f t="shared" si="9"/>
        <v>0</v>
      </c>
      <c r="W155" s="1">
        <f t="shared" si="10"/>
        <v>0</v>
      </c>
      <c r="X155" s="1">
        <f t="shared" si="11"/>
        <v>0</v>
      </c>
    </row>
    <row r="156" spans="2:24" x14ac:dyDescent="0.25">
      <c r="B156" s="11">
        <f>[1]code!B153</f>
        <v>295</v>
      </c>
      <c r="C156" s="2" t="str">
        <f>[1]code!C153</f>
        <v>سكر دايت استيفياني - المشربية</v>
      </c>
      <c r="D156" s="2" t="str">
        <f>[1]code!D153</f>
        <v>مواد غذائية (المشربية)</v>
      </c>
      <c r="E156" s="1" t="str">
        <f>[1]code!E153</f>
        <v>بكت</v>
      </c>
      <c r="F156" s="2" t="str">
        <f>[1]code!F153</f>
        <v>مشتريات مباشرة</v>
      </c>
      <c r="G156" s="12">
        <f>[1]code!G153</f>
        <v>20.13</v>
      </c>
      <c r="I156" s="10">
        <v>20.13</v>
      </c>
      <c r="J156" s="10">
        <v>20.13</v>
      </c>
      <c r="K156" s="10">
        <v>20.13</v>
      </c>
      <c r="L156" s="10">
        <v>19.950200000000002</v>
      </c>
      <c r="M156" s="10">
        <f>IFERROR(VLOOKUP($B156,[1]INV!$B$7:$H$2575,7,0),"")</f>
        <v>19.950364285714283</v>
      </c>
      <c r="N156" s="10"/>
      <c r="O156" s="10"/>
      <c r="P156" s="10"/>
      <c r="Q156" s="10"/>
      <c r="R156" s="10"/>
      <c r="S156" s="10"/>
      <c r="T156" s="10"/>
      <c r="U156" s="1">
        <f t="shared" si="8"/>
        <v>20.13</v>
      </c>
      <c r="V156" s="1">
        <f t="shared" si="9"/>
        <v>20.13</v>
      </c>
      <c r="W156" s="1">
        <f t="shared" si="10"/>
        <v>20.13</v>
      </c>
      <c r="X156" s="1">
        <f t="shared" si="11"/>
        <v>19.950200000000002</v>
      </c>
    </row>
    <row r="157" spans="2:24" x14ac:dyDescent="0.25">
      <c r="B157" s="11">
        <f>[1]code!B154</f>
        <v>296</v>
      </c>
      <c r="C157" s="2" t="str">
        <f>[1]code!C154</f>
        <v>كركديه فرط - المشربية</v>
      </c>
      <c r="D157" s="2" t="str">
        <f>[1]code!D154</f>
        <v>مواد غذائية (المشربية)</v>
      </c>
      <c r="E157" s="1" t="str">
        <f>[1]code!E154</f>
        <v>كيلو</v>
      </c>
      <c r="F157" s="2" t="str">
        <f>[1]code!F154</f>
        <v>مشتريات مباشرة</v>
      </c>
      <c r="G157" s="12">
        <f>[1]code!G154</f>
        <v>19.943300000000001</v>
      </c>
      <c r="I157" s="10">
        <v>19.943300000000001</v>
      </c>
      <c r="J157" s="10">
        <v>19.943300000000001</v>
      </c>
      <c r="K157" s="10">
        <v>19.994155867970665</v>
      </c>
      <c r="L157" s="10">
        <v>19.994155867970665</v>
      </c>
      <c r="M157" s="10">
        <f>IFERROR(VLOOKUP($B157,[1]INV!$B$7:$H$2575,7,0),"")</f>
        <v>20.611976544943822</v>
      </c>
      <c r="N157" s="10"/>
      <c r="O157" s="10"/>
      <c r="P157" s="10"/>
      <c r="Q157" s="10"/>
      <c r="R157" s="10"/>
      <c r="S157" s="10"/>
      <c r="T157" s="10"/>
      <c r="U157" s="1">
        <f t="shared" si="8"/>
        <v>19.943300000000001</v>
      </c>
      <c r="V157" s="1">
        <f t="shared" si="9"/>
        <v>19.943300000000001</v>
      </c>
      <c r="W157" s="1">
        <f t="shared" si="10"/>
        <v>19.994155867970665</v>
      </c>
      <c r="X157" s="1">
        <f t="shared" si="11"/>
        <v>19.994155867970665</v>
      </c>
    </row>
    <row r="158" spans="2:24" x14ac:dyDescent="0.25">
      <c r="B158" s="11">
        <f>[1]code!B155</f>
        <v>297</v>
      </c>
      <c r="C158" s="2" t="str">
        <f>[1]code!C155</f>
        <v>قرفة خشب - المشربية</v>
      </c>
      <c r="D158" s="2" t="str">
        <f>[1]code!D155</f>
        <v>مواد غذائية (المشربية)</v>
      </c>
      <c r="E158" s="1" t="str">
        <f>[1]code!E155</f>
        <v>كيلو</v>
      </c>
      <c r="F158" s="2" t="str">
        <f>[1]code!F155</f>
        <v>مشتريات مباشرة</v>
      </c>
      <c r="G158" s="12">
        <f>[1]code!G155</f>
        <v>29.558892307692311</v>
      </c>
      <c r="I158" s="10">
        <v>29.558892307692311</v>
      </c>
      <c r="J158" s="10">
        <v>29.558892307692311</v>
      </c>
      <c r="K158" s="10">
        <v>29.558892307692311</v>
      </c>
      <c r="L158" s="10">
        <v>35.797200000000004</v>
      </c>
      <c r="M158" s="10" t="str">
        <f>IFERROR(VLOOKUP($B158,[1]INV!$B$7:$H$2575,7,0),"")</f>
        <v/>
      </c>
      <c r="N158" s="10"/>
      <c r="O158" s="10"/>
      <c r="P158" s="10"/>
      <c r="Q158" s="10"/>
      <c r="R158" s="10"/>
      <c r="S158" s="10"/>
      <c r="T158" s="10"/>
      <c r="U158" s="1">
        <f t="shared" si="8"/>
        <v>29.558892307692311</v>
      </c>
      <c r="V158" s="1">
        <f t="shared" si="9"/>
        <v>29.558892307692311</v>
      </c>
      <c r="W158" s="1">
        <f t="shared" si="10"/>
        <v>29.558892307692311</v>
      </c>
      <c r="X158" s="1">
        <f t="shared" si="11"/>
        <v>35.797200000000004</v>
      </c>
    </row>
    <row r="159" spans="2:24" x14ac:dyDescent="0.25">
      <c r="B159" s="11">
        <f>[1]code!B156</f>
        <v>298</v>
      </c>
      <c r="C159" s="2" t="str">
        <f>[1]code!C156</f>
        <v>نسكافيه قولد - المشربية</v>
      </c>
      <c r="D159" s="2" t="str">
        <f>[1]code!D156</f>
        <v>مواد غذائية (المشربية)</v>
      </c>
      <c r="E159" s="1" t="str">
        <f>[1]code!E156</f>
        <v>كيلو</v>
      </c>
      <c r="F159" s="2" t="str">
        <f>[1]code!F156</f>
        <v>مشتريات مباشرة</v>
      </c>
      <c r="G159" s="12">
        <f>[1]code!G156</f>
        <v>242.11</v>
      </c>
      <c r="I159" s="10">
        <v>242.11</v>
      </c>
      <c r="J159" s="10">
        <v>194.47075000000001</v>
      </c>
      <c r="K159" s="10">
        <v>194.47075000000001</v>
      </c>
      <c r="L159" s="10">
        <v>194.47075000000001</v>
      </c>
      <c r="M159" s="10" t="str">
        <f>IFERROR(VLOOKUP($B159,[1]INV!$B$7:$H$2575,7,0),"")</f>
        <v/>
      </c>
      <c r="N159" s="10"/>
      <c r="O159" s="10"/>
      <c r="P159" s="10"/>
      <c r="Q159" s="10"/>
      <c r="R159" s="10"/>
      <c r="S159" s="10"/>
      <c r="T159" s="10"/>
      <c r="U159" s="1">
        <f t="shared" si="8"/>
        <v>242.11</v>
      </c>
      <c r="V159" s="1">
        <f t="shared" si="9"/>
        <v>194.47075000000001</v>
      </c>
      <c r="W159" s="1">
        <f t="shared" si="10"/>
        <v>194.47075000000001</v>
      </c>
      <c r="X159" s="1">
        <f t="shared" si="11"/>
        <v>194.47075000000001</v>
      </c>
    </row>
    <row r="160" spans="2:24" x14ac:dyDescent="0.25">
      <c r="B160" s="11">
        <f>[1]code!B157</f>
        <v>300</v>
      </c>
      <c r="C160" s="2" t="str">
        <f>[1]code!C157</f>
        <v>سكر ناعم - المشربية</v>
      </c>
      <c r="D160" s="2" t="str">
        <f>[1]code!D157</f>
        <v>مواد غذائية (المشربية)</v>
      </c>
      <c r="E160" s="1" t="str">
        <f>[1]code!E157</f>
        <v>كيلو</v>
      </c>
      <c r="F160" s="2" t="str">
        <f>[1]code!F157</f>
        <v>مشتريات مباشرة</v>
      </c>
      <c r="G160" s="12">
        <f>[1]code!G157</f>
        <v>3.07</v>
      </c>
      <c r="I160" s="10">
        <v>3.07</v>
      </c>
      <c r="J160" s="10">
        <v>3.07</v>
      </c>
      <c r="K160" s="10">
        <v>3.07</v>
      </c>
      <c r="L160" s="10">
        <v>3.07</v>
      </c>
      <c r="M160" s="10" t="str">
        <f>IFERROR(VLOOKUP($B160,[1]INV!$B$7:$H$2575,7,0),"")</f>
        <v/>
      </c>
      <c r="N160" s="10"/>
      <c r="O160" s="10"/>
      <c r="P160" s="10"/>
      <c r="Q160" s="10"/>
      <c r="R160" s="10"/>
      <c r="S160" s="10"/>
      <c r="T160" s="10"/>
      <c r="U160" s="1">
        <f t="shared" si="8"/>
        <v>3.07</v>
      </c>
      <c r="V160" s="1">
        <f t="shared" si="9"/>
        <v>3.07</v>
      </c>
      <c r="W160" s="1">
        <f t="shared" si="10"/>
        <v>3.07</v>
      </c>
      <c r="X160" s="1">
        <f t="shared" si="11"/>
        <v>3.07</v>
      </c>
    </row>
    <row r="161" spans="2:24" x14ac:dyDescent="0.25">
      <c r="B161" s="11">
        <f>[1]code!B158</f>
        <v>323</v>
      </c>
      <c r="C161" s="2" t="str">
        <f>[1]code!C158</f>
        <v>ينسون خيط - المشربية</v>
      </c>
      <c r="D161" s="2" t="str">
        <f>[1]code!D158</f>
        <v>مواد غذائية (المشربية)</v>
      </c>
      <c r="E161" s="1" t="str">
        <f>[1]code!E158</f>
        <v>حبة</v>
      </c>
      <c r="F161" s="2" t="str">
        <f>[1]code!F158</f>
        <v>مشتريات مباشرة</v>
      </c>
      <c r="G161" s="12">
        <f>[1]code!G158</f>
        <v>0.52520500000000003</v>
      </c>
      <c r="I161" s="10">
        <v>0.52520500000000003</v>
      </c>
      <c r="J161" s="10">
        <v>0.52520500000000003</v>
      </c>
      <c r="K161" s="10">
        <v>0.46690000000000004</v>
      </c>
      <c r="L161" s="10">
        <v>0.50024999999999997</v>
      </c>
      <c r="M161" s="10">
        <f>IFERROR(VLOOKUP($B161,[1]INV!$B$7:$H$2575,7,0),"")</f>
        <v>0.5474</v>
      </c>
      <c r="N161" s="10"/>
      <c r="O161" s="10"/>
      <c r="P161" s="10"/>
      <c r="Q161" s="10"/>
      <c r="R161" s="10"/>
      <c r="S161" s="10"/>
      <c r="T161" s="10"/>
      <c r="U161" s="1">
        <f t="shared" si="8"/>
        <v>0.52520500000000003</v>
      </c>
      <c r="V161" s="1">
        <f t="shared" si="9"/>
        <v>0.52520500000000003</v>
      </c>
      <c r="W161" s="1">
        <f t="shared" si="10"/>
        <v>0.46690000000000004</v>
      </c>
      <c r="X161" s="1">
        <f t="shared" si="11"/>
        <v>0.50024999999999997</v>
      </c>
    </row>
    <row r="162" spans="2:24" x14ac:dyDescent="0.25">
      <c r="B162" s="11">
        <f>[1]code!B159</f>
        <v>324</v>
      </c>
      <c r="C162" s="2" t="str">
        <f>[1]code!C159</f>
        <v>نعناع خيط - المشربية</v>
      </c>
      <c r="D162" s="2" t="str">
        <f>[1]code!D159</f>
        <v>مواد غذائية (المشربية)</v>
      </c>
      <c r="E162" s="1" t="str">
        <f>[1]code!E159</f>
        <v>علبة</v>
      </c>
      <c r="F162" s="2" t="str">
        <f>[1]code!F159</f>
        <v>مشتريات مباشرة</v>
      </c>
      <c r="G162" s="12">
        <f>[1]code!G159</f>
        <v>0.52500000000000002</v>
      </c>
      <c r="I162" s="10">
        <v>0</v>
      </c>
      <c r="J162" s="10">
        <v>0.52440000000000009</v>
      </c>
      <c r="K162" s="10">
        <v>0.52440000000000009</v>
      </c>
      <c r="L162" s="10">
        <v>0.52440000000000009</v>
      </c>
      <c r="M162" s="10">
        <f>IFERROR(VLOOKUP($B162,[1]INV!$B$7:$H$2575,7,0),"")</f>
        <v>0.52516666666666678</v>
      </c>
      <c r="N162" s="10"/>
      <c r="O162" s="10"/>
      <c r="P162" s="10"/>
      <c r="Q162" s="10"/>
      <c r="R162" s="10"/>
      <c r="S162" s="10"/>
      <c r="T162" s="10"/>
      <c r="U162" s="1">
        <f t="shared" si="8"/>
        <v>0</v>
      </c>
      <c r="V162" s="1">
        <f t="shared" si="9"/>
        <v>0.52440000000000009</v>
      </c>
      <c r="W162" s="1">
        <f t="shared" si="10"/>
        <v>0.52440000000000009</v>
      </c>
      <c r="X162" s="1">
        <f t="shared" si="11"/>
        <v>0.52440000000000009</v>
      </c>
    </row>
    <row r="163" spans="2:24" x14ac:dyDescent="0.25">
      <c r="B163" s="11">
        <f>[1]code!B160</f>
        <v>327</v>
      </c>
      <c r="C163" s="2" t="str">
        <f>[1]code!C160</f>
        <v>سكر بني أظرف - المشربية</v>
      </c>
      <c r="D163" s="2" t="str">
        <f>[1]code!D160</f>
        <v>مواد غذائية (المشربية)</v>
      </c>
      <c r="E163" s="1" t="str">
        <f>[1]code!E160</f>
        <v>بكت</v>
      </c>
      <c r="F163" s="2" t="str">
        <f>[1]code!F160</f>
        <v>مشتريات مباشرة</v>
      </c>
      <c r="G163" s="12">
        <f>[1]code!G160</f>
        <v>9.1999999999999998E-2</v>
      </c>
      <c r="I163" s="10">
        <v>9.1999999999999998E-2</v>
      </c>
      <c r="J163" s="10">
        <v>9.1999999999999998E-2</v>
      </c>
      <c r="K163" s="10">
        <v>9.1999999999999998E-2</v>
      </c>
      <c r="L163" s="10">
        <v>9.1999999999999998E-2</v>
      </c>
      <c r="M163" s="10" t="str">
        <f>IFERROR(VLOOKUP($B163,[1]INV!$B$7:$H$2575,7,0),"")</f>
        <v/>
      </c>
      <c r="N163" s="10"/>
      <c r="O163" s="10"/>
      <c r="P163" s="10"/>
      <c r="Q163" s="10"/>
      <c r="R163" s="10"/>
      <c r="S163" s="10"/>
      <c r="T163" s="10"/>
      <c r="U163" s="1">
        <f t="shared" si="8"/>
        <v>9.1999999999999998E-2</v>
      </c>
      <c r="V163" s="1">
        <f t="shared" si="9"/>
        <v>9.1999999999999998E-2</v>
      </c>
      <c r="W163" s="1">
        <f t="shared" si="10"/>
        <v>9.1999999999999998E-2</v>
      </c>
      <c r="X163" s="1">
        <f t="shared" si="11"/>
        <v>9.1999999999999998E-2</v>
      </c>
    </row>
    <row r="164" spans="2:24" x14ac:dyDescent="0.25">
      <c r="B164" s="11">
        <f>[1]code!B161</f>
        <v>328</v>
      </c>
      <c r="C164" s="2" t="str">
        <f>[1]code!C161</f>
        <v>ترمس حلو - المشربية</v>
      </c>
      <c r="D164" s="2" t="str">
        <f>[1]code!D161</f>
        <v>مواد غذائية (المشربية)</v>
      </c>
      <c r="E164" s="1" t="str">
        <f>[1]code!E161</f>
        <v>كيلو</v>
      </c>
      <c r="F164" s="2" t="str">
        <f>[1]code!F161</f>
        <v>مشتريات مباشرة</v>
      </c>
      <c r="G164" s="12">
        <f>[1]code!G161</f>
        <v>8.0500000000000007</v>
      </c>
      <c r="I164" s="10">
        <v>8.0500000000000007</v>
      </c>
      <c r="J164" s="10">
        <v>8.0500000000000007</v>
      </c>
      <c r="K164" s="10">
        <v>8.0500000000000007</v>
      </c>
      <c r="L164" s="10">
        <v>8.0500000000000007</v>
      </c>
      <c r="M164" s="10" t="str">
        <f>IFERROR(VLOOKUP($B164,[1]INV!$B$7:$H$2575,7,0),"")</f>
        <v/>
      </c>
      <c r="N164" s="10"/>
      <c r="O164" s="10"/>
      <c r="P164" s="10"/>
      <c r="Q164" s="10"/>
      <c r="R164" s="10"/>
      <c r="S164" s="10"/>
      <c r="T164" s="10"/>
      <c r="U164" s="1">
        <f t="shared" si="8"/>
        <v>8.0500000000000007</v>
      </c>
      <c r="V164" s="1">
        <f t="shared" si="9"/>
        <v>8.0500000000000007</v>
      </c>
      <c r="W164" s="1">
        <f t="shared" si="10"/>
        <v>8.0500000000000007</v>
      </c>
      <c r="X164" s="1">
        <f t="shared" si="11"/>
        <v>8.0500000000000007</v>
      </c>
    </row>
    <row r="165" spans="2:24" x14ac:dyDescent="0.25">
      <c r="B165" s="11">
        <f>[1]code!B162</f>
        <v>357</v>
      </c>
      <c r="C165" s="2" t="str">
        <f>[1]code!C162</f>
        <v>قهوة تركي - المشربية</v>
      </c>
      <c r="D165" s="2" t="str">
        <f>[1]code!D162</f>
        <v>مواد غذائية (المشربية)</v>
      </c>
      <c r="E165" s="1" t="str">
        <f>[1]code!E162</f>
        <v>كيلو</v>
      </c>
      <c r="F165" s="2" t="str">
        <f>[1]code!F162</f>
        <v>مشتريات مباشرة</v>
      </c>
      <c r="G165" s="12">
        <f>[1]code!G162</f>
        <v>80</v>
      </c>
      <c r="I165" s="10">
        <v>60.876957285595338</v>
      </c>
      <c r="J165" s="10">
        <v>78.876199999999997</v>
      </c>
      <c r="K165" s="10">
        <v>79.999749999999992</v>
      </c>
      <c r="L165" s="10">
        <v>79.999749999999992</v>
      </c>
      <c r="M165" s="10">
        <f>IFERROR(VLOOKUP($B165,[1]INV!$B$7:$H$2575,7,0),"")</f>
        <v>79.999749999999992</v>
      </c>
      <c r="N165" s="10"/>
      <c r="O165" s="10"/>
      <c r="P165" s="10"/>
      <c r="Q165" s="10"/>
      <c r="R165" s="10"/>
      <c r="S165" s="10"/>
      <c r="T165" s="10"/>
      <c r="U165" s="1">
        <f t="shared" si="8"/>
        <v>60.876957285595338</v>
      </c>
      <c r="V165" s="1">
        <f t="shared" si="9"/>
        <v>78.876199999999997</v>
      </c>
      <c r="W165" s="1">
        <f t="shared" si="10"/>
        <v>79.999749999999992</v>
      </c>
      <c r="X165" s="1">
        <f t="shared" si="11"/>
        <v>79.999749999999992</v>
      </c>
    </row>
    <row r="166" spans="2:24" x14ac:dyDescent="0.25">
      <c r="B166" s="11">
        <f>[1]code!B163</f>
        <v>367</v>
      </c>
      <c r="C166" s="2" t="str">
        <f>[1]code!C163</f>
        <v>قهوة اسبريسو - المشربية</v>
      </c>
      <c r="D166" s="2" t="str">
        <f>[1]code!D163</f>
        <v>مواد غذائية (المشربية)</v>
      </c>
      <c r="E166" s="1" t="str">
        <f>[1]code!E163</f>
        <v>كيلو</v>
      </c>
      <c r="F166" s="2" t="str">
        <f>[1]code!F163</f>
        <v>مشتريات مباشرة</v>
      </c>
      <c r="G166" s="12">
        <f>[1]code!G163</f>
        <v>73.928571428571431</v>
      </c>
      <c r="I166" s="10">
        <v>73.928571428571431</v>
      </c>
      <c r="J166" s="10">
        <v>73.600000000000009</v>
      </c>
      <c r="K166" s="10">
        <v>73.600000000000009</v>
      </c>
      <c r="L166" s="10">
        <v>73.600000000000009</v>
      </c>
      <c r="M166" s="10">
        <f>IFERROR(VLOOKUP($B166,[1]INV!$B$7:$H$2575,7,0),"")</f>
        <v>73.600000000000009</v>
      </c>
      <c r="N166" s="10"/>
      <c r="O166" s="10"/>
      <c r="P166" s="10"/>
      <c r="Q166" s="10"/>
      <c r="R166" s="10"/>
      <c r="S166" s="10"/>
      <c r="T166" s="10"/>
      <c r="U166" s="1">
        <f t="shared" si="8"/>
        <v>73.928571428571431</v>
      </c>
      <c r="V166" s="1">
        <f t="shared" si="9"/>
        <v>73.600000000000009</v>
      </c>
      <c r="W166" s="1">
        <f t="shared" si="10"/>
        <v>73.600000000000009</v>
      </c>
      <c r="X166" s="1">
        <f t="shared" si="11"/>
        <v>73.600000000000009</v>
      </c>
    </row>
    <row r="167" spans="2:24" x14ac:dyDescent="0.25">
      <c r="B167" s="11">
        <f>[1]code!B164</f>
        <v>375</v>
      </c>
      <c r="C167" s="2" t="str">
        <f>[1]code!C164</f>
        <v>شاي أخضر خيط - المشربية</v>
      </c>
      <c r="D167" s="2" t="str">
        <f>[1]code!D164</f>
        <v>مواد غذائية (المشربية)</v>
      </c>
      <c r="E167" s="1" t="str">
        <f>[1]code!E164</f>
        <v>علبة</v>
      </c>
      <c r="F167" s="2" t="str">
        <f>[1]code!F164</f>
        <v>مشتريات مباشرة</v>
      </c>
      <c r="G167" s="12">
        <f>[1]code!G164</f>
        <v>0.31299933333333335</v>
      </c>
      <c r="I167" s="10">
        <v>0.31299933333333335</v>
      </c>
      <c r="J167" s="10">
        <v>0.39904999999999996</v>
      </c>
      <c r="K167" s="10">
        <v>0.39904999999999996</v>
      </c>
      <c r="L167" s="10">
        <v>0.39904999999999996</v>
      </c>
      <c r="M167" s="10">
        <f>IFERROR(VLOOKUP($B167,[1]INV!$B$7:$H$2575,7,0),"")</f>
        <v>0.39904999999999996</v>
      </c>
      <c r="N167" s="10"/>
      <c r="O167" s="10"/>
      <c r="P167" s="10"/>
      <c r="Q167" s="10"/>
      <c r="R167" s="10"/>
      <c r="S167" s="10"/>
      <c r="T167" s="10"/>
      <c r="U167" s="1">
        <f t="shared" si="8"/>
        <v>0.31299933333333335</v>
      </c>
      <c r="V167" s="1">
        <f t="shared" si="9"/>
        <v>0.39904999999999996</v>
      </c>
      <c r="W167" s="1">
        <f t="shared" si="10"/>
        <v>0.39904999999999996</v>
      </c>
      <c r="X167" s="1">
        <f t="shared" si="11"/>
        <v>0.39904999999999996</v>
      </c>
    </row>
    <row r="168" spans="2:24" x14ac:dyDescent="0.25">
      <c r="B168" s="11">
        <f>[1]code!B165</f>
        <v>377</v>
      </c>
      <c r="C168" s="2" t="str">
        <f>[1]code!C165</f>
        <v>قرنفل حب - المشربية</v>
      </c>
      <c r="D168" s="2" t="str">
        <f>[1]code!D165</f>
        <v>مواد غذائية (المشربية)</v>
      </c>
      <c r="E168" s="1" t="str">
        <f>[1]code!E165</f>
        <v>كيلو</v>
      </c>
      <c r="F168" s="2" t="str">
        <f>[1]code!F165</f>
        <v>مشتريات مباشرة</v>
      </c>
      <c r="G168" s="12">
        <f>[1]code!G165</f>
        <v>46.29</v>
      </c>
      <c r="I168" s="10">
        <v>46.29</v>
      </c>
      <c r="J168" s="10">
        <v>59.998950000000001</v>
      </c>
      <c r="K168" s="10">
        <v>59.998950000000001</v>
      </c>
      <c r="L168" s="10">
        <v>59.998950000000001</v>
      </c>
      <c r="M168" s="10" t="str">
        <f>IFERROR(VLOOKUP($B168,[1]INV!$B$7:$H$2575,7,0),"")</f>
        <v/>
      </c>
      <c r="N168" s="10"/>
      <c r="O168" s="10"/>
      <c r="P168" s="10"/>
      <c r="Q168" s="10"/>
      <c r="R168" s="10"/>
      <c r="S168" s="10"/>
      <c r="T168" s="10"/>
      <c r="U168" s="1">
        <f t="shared" si="8"/>
        <v>46.29</v>
      </c>
      <c r="V168" s="1">
        <f t="shared" si="9"/>
        <v>59.998950000000001</v>
      </c>
      <c r="W168" s="1">
        <f t="shared" si="10"/>
        <v>59.998950000000001</v>
      </c>
      <c r="X168" s="1">
        <f t="shared" si="11"/>
        <v>59.998950000000001</v>
      </c>
    </row>
    <row r="169" spans="2:24" x14ac:dyDescent="0.25">
      <c r="B169" s="11">
        <f>[1]code!B166</f>
        <v>382</v>
      </c>
      <c r="C169" s="2" t="str">
        <f>[1]code!C166</f>
        <v>فشار البطل كراميل - المشربية</v>
      </c>
      <c r="D169" s="2" t="str">
        <f>[1]code!D166</f>
        <v>مواد غذائية (المشربية)</v>
      </c>
      <c r="E169" s="1" t="str">
        <f>[1]code!E166</f>
        <v>كيس</v>
      </c>
      <c r="F169" s="2" t="str">
        <f>[1]code!F166</f>
        <v>مشتريات مباشرة</v>
      </c>
      <c r="G169" s="12">
        <f>[1]code!G166</f>
        <v>5.6758767195767188</v>
      </c>
      <c r="I169" s="10">
        <v>5.6758767195767188</v>
      </c>
      <c r="J169" s="10">
        <v>5.4625000000000004</v>
      </c>
      <c r="K169" s="10">
        <v>5.4625000000000004</v>
      </c>
      <c r="L169" s="10">
        <v>5.4625000000000004</v>
      </c>
      <c r="M169" s="10">
        <f>IFERROR(VLOOKUP($B169,[1]INV!$B$7:$H$2575,7,0),"")</f>
        <v>5.4625000000000004</v>
      </c>
      <c r="N169" s="10"/>
      <c r="O169" s="10"/>
      <c r="P169" s="10"/>
      <c r="Q169" s="10"/>
      <c r="R169" s="10"/>
      <c r="S169" s="10"/>
      <c r="T169" s="10"/>
      <c r="U169" s="1">
        <f t="shared" si="8"/>
        <v>5.6758767195767188</v>
      </c>
      <c r="V169" s="1">
        <f t="shared" si="9"/>
        <v>5.4625000000000004</v>
      </c>
      <c r="W169" s="1">
        <f t="shared" si="10"/>
        <v>5.4625000000000004</v>
      </c>
      <c r="X169" s="1">
        <f t="shared" si="11"/>
        <v>5.4625000000000004</v>
      </c>
    </row>
    <row r="170" spans="2:24" x14ac:dyDescent="0.25">
      <c r="B170" s="11">
        <f>[1]code!B167</f>
        <v>391</v>
      </c>
      <c r="C170" s="2" t="str">
        <f>[1]code!C167</f>
        <v>شاي الربيع 100 خيط - المشربية</v>
      </c>
      <c r="D170" s="2" t="str">
        <f>[1]code!D167</f>
        <v>مواد غذائية (المشربية)</v>
      </c>
      <c r="E170" s="1" t="str">
        <f>[1]code!E167</f>
        <v>علبة</v>
      </c>
      <c r="F170" s="2" t="str">
        <f>[1]code!F167</f>
        <v>مشتريات مباشرة</v>
      </c>
      <c r="G170" s="12">
        <f>[1]code!G167</f>
        <v>0.12112638973421053</v>
      </c>
      <c r="I170" s="10">
        <v>0.12112638973421053</v>
      </c>
      <c r="J170" s="10">
        <v>0.12112638973421053</v>
      </c>
      <c r="K170" s="10">
        <v>0.13499466666666668</v>
      </c>
      <c r="L170" s="10">
        <v>0.12946987499999998</v>
      </c>
      <c r="M170" s="10">
        <f>IFERROR(VLOOKUP($B170,[1]INV!$B$7:$H$2575,7,0),"")</f>
        <v>0.12937499999999999</v>
      </c>
      <c r="N170" s="10"/>
      <c r="O170" s="10"/>
      <c r="P170" s="10"/>
      <c r="Q170" s="10"/>
      <c r="R170" s="10"/>
      <c r="S170" s="10"/>
      <c r="T170" s="10"/>
      <c r="U170" s="1">
        <f t="shared" si="8"/>
        <v>0.12112638973421053</v>
      </c>
      <c r="V170" s="1">
        <f t="shared" si="9"/>
        <v>0.12112638973421053</v>
      </c>
      <c r="W170" s="1">
        <f t="shared" si="10"/>
        <v>0.13499466666666668</v>
      </c>
      <c r="X170" s="1">
        <f t="shared" si="11"/>
        <v>0.12946987499999998</v>
      </c>
    </row>
    <row r="171" spans="2:24" x14ac:dyDescent="0.25">
      <c r="B171" s="11">
        <f>[1]code!B168</f>
        <v>392</v>
      </c>
      <c r="C171" s="2" t="str">
        <f>[1]code!C168</f>
        <v>شاي الكبوس فرط - المشربية</v>
      </c>
      <c r="D171" s="2" t="str">
        <f>[1]code!D168</f>
        <v>مواد غذائية (المشربية)</v>
      </c>
      <c r="E171" s="1" t="str">
        <f>[1]code!E168</f>
        <v>كيلو</v>
      </c>
      <c r="F171" s="2" t="str">
        <f>[1]code!F168</f>
        <v>مشتريات مباشرة</v>
      </c>
      <c r="G171" s="12">
        <f>[1]code!G168</f>
        <v>32.549999999999997</v>
      </c>
      <c r="I171" s="10">
        <v>32.549999999999997</v>
      </c>
      <c r="J171" s="10">
        <v>32.549999999999997</v>
      </c>
      <c r="K171" s="10">
        <v>32.549999999999997</v>
      </c>
      <c r="L171" s="10">
        <v>32.549999999999997</v>
      </c>
      <c r="M171" s="10" t="str">
        <f>IFERROR(VLOOKUP($B171,[1]INV!$B$7:$H$2575,7,0),"")</f>
        <v/>
      </c>
      <c r="N171" s="10"/>
      <c r="O171" s="10"/>
      <c r="P171" s="10"/>
      <c r="Q171" s="10"/>
      <c r="R171" s="10"/>
      <c r="S171" s="10"/>
      <c r="T171" s="10"/>
      <c r="U171" s="1">
        <f t="shared" si="8"/>
        <v>32.549999999999997</v>
      </c>
      <c r="V171" s="1">
        <f t="shared" si="9"/>
        <v>32.549999999999997</v>
      </c>
      <c r="W171" s="1">
        <f t="shared" si="10"/>
        <v>32.549999999999997</v>
      </c>
      <c r="X171" s="1">
        <f t="shared" si="11"/>
        <v>32.549999999999997</v>
      </c>
    </row>
    <row r="172" spans="2:24" x14ac:dyDescent="0.25">
      <c r="B172" s="11">
        <f>[1]code!B169</f>
        <v>393</v>
      </c>
      <c r="C172" s="2" t="str">
        <f>[1]code!C169</f>
        <v>زنجبيل بودرة - المشربية</v>
      </c>
      <c r="D172" s="2" t="str">
        <f>[1]code!D169</f>
        <v>مواد غذائية (المشربية)</v>
      </c>
      <c r="E172" s="1" t="str">
        <f>[1]code!E169</f>
        <v>كيلو</v>
      </c>
      <c r="F172" s="2" t="str">
        <f>[1]code!F169</f>
        <v>مشتريات مباشرة</v>
      </c>
      <c r="G172" s="12">
        <f>[1]code!G169</f>
        <v>15.56</v>
      </c>
      <c r="I172" s="10">
        <v>15.56</v>
      </c>
      <c r="J172" s="10">
        <v>15.56</v>
      </c>
      <c r="K172" s="10">
        <v>15.56</v>
      </c>
      <c r="L172" s="10">
        <v>27.946533333333335</v>
      </c>
      <c r="M172" s="10" t="str">
        <f>IFERROR(VLOOKUP($B172,[1]INV!$B$7:$H$2575,7,0),"")</f>
        <v/>
      </c>
      <c r="N172" s="10"/>
      <c r="O172" s="10"/>
      <c r="P172" s="10"/>
      <c r="Q172" s="10"/>
      <c r="R172" s="10"/>
      <c r="S172" s="10"/>
      <c r="T172" s="10"/>
      <c r="U172" s="1">
        <f t="shared" si="8"/>
        <v>15.56</v>
      </c>
      <c r="V172" s="1">
        <f t="shared" si="9"/>
        <v>15.56</v>
      </c>
      <c r="W172" s="1">
        <f t="shared" si="10"/>
        <v>15.56</v>
      </c>
      <c r="X172" s="1">
        <f t="shared" si="11"/>
        <v>27.946533333333335</v>
      </c>
    </row>
    <row r="173" spans="2:24" x14ac:dyDescent="0.25">
      <c r="B173" s="11">
        <f>[1]code!B170</f>
        <v>394</v>
      </c>
      <c r="C173" s="2" t="str">
        <f>[1]code!C170</f>
        <v>شاي ليبتون 100 خيط - المشربية</v>
      </c>
      <c r="D173" s="2" t="str">
        <f>[1]code!D170</f>
        <v>مواد غذائية (المشربية)</v>
      </c>
      <c r="E173" s="1" t="str">
        <f>[1]code!E170</f>
        <v>علبة</v>
      </c>
      <c r="F173" s="2" t="str">
        <f>[1]code!F170</f>
        <v>مشتريات مباشرة</v>
      </c>
      <c r="G173" s="12">
        <f>[1]code!G170</f>
        <v>0.1994997</v>
      </c>
      <c r="I173" s="10">
        <v>0.1994997</v>
      </c>
      <c r="J173" s="10">
        <v>0.1994997</v>
      </c>
      <c r="K173" s="10">
        <v>0.1994997</v>
      </c>
      <c r="L173" s="10">
        <v>0.1994997</v>
      </c>
      <c r="M173" s="10" t="str">
        <f>IFERROR(VLOOKUP($B173,[1]INV!$B$7:$H$2575,7,0),"")</f>
        <v/>
      </c>
      <c r="N173" s="10"/>
      <c r="O173" s="10"/>
      <c r="P173" s="10"/>
      <c r="Q173" s="10"/>
      <c r="R173" s="10"/>
      <c r="S173" s="10"/>
      <c r="T173" s="10"/>
      <c r="U173" s="1">
        <f t="shared" si="8"/>
        <v>0.1994997</v>
      </c>
      <c r="V173" s="1">
        <f t="shared" si="9"/>
        <v>0.1994997</v>
      </c>
      <c r="W173" s="1">
        <f t="shared" si="10"/>
        <v>0.1994997</v>
      </c>
      <c r="X173" s="1">
        <f t="shared" si="11"/>
        <v>0.1994997</v>
      </c>
    </row>
    <row r="174" spans="2:24" x14ac:dyDescent="0.25">
      <c r="B174" s="11">
        <f>[1]code!B171</f>
        <v>395</v>
      </c>
      <c r="C174" s="2" t="str">
        <f>[1]code!C171</f>
        <v>مربى الفراولة - المشربية</v>
      </c>
      <c r="D174" s="2" t="str">
        <f>[1]code!D171</f>
        <v>مواد غذائية (المشربية)</v>
      </c>
      <c r="E174" s="1" t="str">
        <f>[1]code!E171</f>
        <v>كيلو</v>
      </c>
      <c r="F174" s="2" t="str">
        <f>[1]code!F171</f>
        <v>مشتريات مباشرة</v>
      </c>
      <c r="G174" s="12">
        <f>[1]code!G171</f>
        <v>10</v>
      </c>
      <c r="I174" s="10">
        <v>10</v>
      </c>
      <c r="J174" s="10">
        <v>10</v>
      </c>
      <c r="K174" s="10">
        <v>10</v>
      </c>
      <c r="L174" s="10">
        <v>10</v>
      </c>
      <c r="M174" s="10" t="str">
        <f>IFERROR(VLOOKUP($B174,[1]INV!$B$7:$H$2575,7,0),"")</f>
        <v/>
      </c>
      <c r="N174" s="10"/>
      <c r="O174" s="10"/>
      <c r="P174" s="10"/>
      <c r="Q174" s="10"/>
      <c r="R174" s="10"/>
      <c r="S174" s="10"/>
      <c r="T174" s="10"/>
      <c r="U174" s="1">
        <f t="shared" si="8"/>
        <v>10</v>
      </c>
      <c r="V174" s="1">
        <f t="shared" si="9"/>
        <v>10</v>
      </c>
      <c r="W174" s="1">
        <f t="shared" si="10"/>
        <v>10</v>
      </c>
      <c r="X174" s="1">
        <f t="shared" si="11"/>
        <v>10</v>
      </c>
    </row>
    <row r="175" spans="2:24" x14ac:dyDescent="0.25">
      <c r="B175" s="11">
        <f>[1]code!B172</f>
        <v>406</v>
      </c>
      <c r="C175" s="2" t="str">
        <f>[1]code!C172</f>
        <v>آيس كريم فانيلا 2 لتر - المشربية</v>
      </c>
      <c r="D175" s="2" t="str">
        <f>[1]code!D172</f>
        <v>مواد غذائية (المشربية)</v>
      </c>
      <c r="E175" s="1" t="str">
        <f>[1]code!E172</f>
        <v>لتر</v>
      </c>
      <c r="F175" s="2" t="str">
        <f>[1]code!F172</f>
        <v>مشتريات مباشرة</v>
      </c>
      <c r="G175" s="12">
        <f>[1]code!G172</f>
        <v>12.11985</v>
      </c>
      <c r="I175" s="10">
        <v>12.11985</v>
      </c>
      <c r="J175" s="10">
        <v>12.559725</v>
      </c>
      <c r="K175" s="10">
        <v>13.07274</v>
      </c>
      <c r="L175" s="10">
        <v>12.027274999999999</v>
      </c>
      <c r="M175" s="10">
        <f>IFERROR(VLOOKUP($B175,[1]INV!$B$7:$H$2575,7,0),"")</f>
        <v>13.385872222222224</v>
      </c>
      <c r="N175" s="10"/>
      <c r="O175" s="10"/>
      <c r="P175" s="10"/>
      <c r="Q175" s="10"/>
      <c r="R175" s="10"/>
      <c r="S175" s="10"/>
      <c r="T175" s="10"/>
      <c r="U175" s="1">
        <f t="shared" si="8"/>
        <v>12.11985</v>
      </c>
      <c r="V175" s="1">
        <f t="shared" si="9"/>
        <v>12.559725</v>
      </c>
      <c r="W175" s="1">
        <f t="shared" si="10"/>
        <v>13.07274</v>
      </c>
      <c r="X175" s="1">
        <f t="shared" si="11"/>
        <v>12.027274999999999</v>
      </c>
    </row>
    <row r="176" spans="2:24" x14ac:dyDescent="0.25">
      <c r="B176" s="11">
        <f>[1]code!B173</f>
        <v>410</v>
      </c>
      <c r="C176" s="2" t="str">
        <f>[1]code!C173</f>
        <v>سيروب بندق - المشربية</v>
      </c>
      <c r="D176" s="2" t="str">
        <f>[1]code!D173</f>
        <v>مواد غذائية (المشربية)</v>
      </c>
      <c r="E176" s="1" t="str">
        <f>[1]code!E173</f>
        <v>لتر</v>
      </c>
      <c r="F176" s="2" t="str">
        <f>[1]code!F173</f>
        <v>مشتريات مباشرة</v>
      </c>
      <c r="G176" s="12">
        <f>[1]code!G173</f>
        <v>0</v>
      </c>
      <c r="I176" s="10">
        <v>0</v>
      </c>
      <c r="J176" s="10">
        <v>0</v>
      </c>
      <c r="K176" s="10">
        <v>0</v>
      </c>
      <c r="L176" s="10">
        <v>0</v>
      </c>
      <c r="M176" s="10" t="str">
        <f>IFERROR(VLOOKUP($B176,[1]INV!$B$7:$H$2575,7,0),"")</f>
        <v/>
      </c>
      <c r="N176" s="10"/>
      <c r="O176" s="10"/>
      <c r="P176" s="10"/>
      <c r="Q176" s="10"/>
      <c r="R176" s="10"/>
      <c r="S176" s="10"/>
      <c r="T176" s="10"/>
      <c r="U176" s="1">
        <f t="shared" si="8"/>
        <v>0</v>
      </c>
      <c r="V176" s="1">
        <f t="shared" si="9"/>
        <v>0</v>
      </c>
      <c r="W176" s="1">
        <f t="shared" si="10"/>
        <v>0</v>
      </c>
      <c r="X176" s="1">
        <f t="shared" si="11"/>
        <v>0</v>
      </c>
    </row>
    <row r="177" spans="2:24" x14ac:dyDescent="0.25">
      <c r="B177" s="11">
        <f>[1]code!B174</f>
        <v>412</v>
      </c>
      <c r="C177" s="2" t="str">
        <f>[1]code!C174</f>
        <v>سيروب بطيخ - المشربية</v>
      </c>
      <c r="D177" s="2" t="str">
        <f>[1]code!D174</f>
        <v>مواد غذائية (المشربية)</v>
      </c>
      <c r="E177" s="1" t="str">
        <f>[1]code!E174</f>
        <v>لتر</v>
      </c>
      <c r="F177" s="2" t="str">
        <f>[1]code!F174</f>
        <v>مشتريات مباشرة</v>
      </c>
      <c r="G177" s="12">
        <f>[1]code!G174</f>
        <v>0</v>
      </c>
      <c r="I177" s="10">
        <v>0</v>
      </c>
      <c r="J177" s="10">
        <v>0</v>
      </c>
      <c r="K177" s="10">
        <v>0</v>
      </c>
      <c r="L177" s="10">
        <v>0</v>
      </c>
      <c r="M177" s="10" t="str">
        <f>IFERROR(VLOOKUP($B177,[1]INV!$B$7:$H$2575,7,0),"")</f>
        <v/>
      </c>
      <c r="N177" s="10"/>
      <c r="O177" s="10"/>
      <c r="P177" s="10"/>
      <c r="Q177" s="10"/>
      <c r="R177" s="10"/>
      <c r="S177" s="10"/>
      <c r="T177" s="10"/>
      <c r="U177" s="1">
        <f t="shared" si="8"/>
        <v>0</v>
      </c>
      <c r="V177" s="1">
        <f t="shared" si="9"/>
        <v>0</v>
      </c>
      <c r="W177" s="1">
        <f t="shared" si="10"/>
        <v>0</v>
      </c>
      <c r="X177" s="1">
        <f t="shared" si="11"/>
        <v>0</v>
      </c>
    </row>
    <row r="178" spans="2:24" x14ac:dyDescent="0.25">
      <c r="B178" s="11">
        <f>[1]code!B175</f>
        <v>413</v>
      </c>
      <c r="C178" s="2" t="str">
        <f>[1]code!C175</f>
        <v>سيروب رمان - المشربية</v>
      </c>
      <c r="D178" s="2" t="str">
        <f>[1]code!D175</f>
        <v>مواد غذائية (المشربية)</v>
      </c>
      <c r="E178" s="1" t="str">
        <f>[1]code!E175</f>
        <v>لتر</v>
      </c>
      <c r="F178" s="2" t="str">
        <f>[1]code!F175</f>
        <v>مشتريات مباشرة</v>
      </c>
      <c r="G178" s="12">
        <f>[1]code!G175</f>
        <v>0</v>
      </c>
      <c r="I178" s="10">
        <v>0</v>
      </c>
      <c r="J178" s="10">
        <v>0</v>
      </c>
      <c r="K178" s="10">
        <v>0</v>
      </c>
      <c r="L178" s="10">
        <v>0</v>
      </c>
      <c r="M178" s="10" t="str">
        <f>IFERROR(VLOOKUP($B178,[1]INV!$B$7:$H$2575,7,0),"")</f>
        <v/>
      </c>
      <c r="N178" s="10"/>
      <c r="O178" s="10"/>
      <c r="P178" s="10"/>
      <c r="Q178" s="10"/>
      <c r="R178" s="10"/>
      <c r="S178" s="10"/>
      <c r="T178" s="10"/>
      <c r="U178" s="1">
        <f t="shared" si="8"/>
        <v>0</v>
      </c>
      <c r="V178" s="1">
        <f t="shared" si="9"/>
        <v>0</v>
      </c>
      <c r="W178" s="1">
        <f t="shared" si="10"/>
        <v>0</v>
      </c>
      <c r="X178" s="1">
        <f t="shared" si="11"/>
        <v>0</v>
      </c>
    </row>
    <row r="179" spans="2:24" x14ac:dyDescent="0.25">
      <c r="B179" s="11">
        <f>[1]code!B176</f>
        <v>415</v>
      </c>
      <c r="C179" s="2" t="str">
        <f>[1]code!C176</f>
        <v>هوت شوكليت - المشربية</v>
      </c>
      <c r="D179" s="2" t="str">
        <f>[1]code!D176</f>
        <v>مواد غذائية (المشربية)</v>
      </c>
      <c r="E179" s="1" t="str">
        <f>[1]code!E176</f>
        <v>لتر</v>
      </c>
      <c r="F179" s="2" t="str">
        <f>[1]code!F176</f>
        <v>مشتريات مباشرة</v>
      </c>
      <c r="G179" s="12">
        <f>[1]code!G176</f>
        <v>63.165999999999997</v>
      </c>
      <c r="I179" s="10">
        <v>0</v>
      </c>
      <c r="J179" s="10">
        <v>0</v>
      </c>
      <c r="K179" s="10">
        <v>0</v>
      </c>
      <c r="L179" s="10">
        <v>0</v>
      </c>
      <c r="M179" s="10">
        <f>IFERROR(VLOOKUP($B179,[1]INV!$B$7:$H$2575,7,0),"")</f>
        <v>63.166049999999991</v>
      </c>
      <c r="N179" s="10"/>
      <c r="O179" s="10"/>
      <c r="P179" s="10"/>
      <c r="Q179" s="10"/>
      <c r="R179" s="10"/>
      <c r="S179" s="10"/>
      <c r="T179" s="10"/>
      <c r="U179" s="1">
        <f t="shared" si="8"/>
        <v>0</v>
      </c>
      <c r="V179" s="1">
        <f t="shared" si="9"/>
        <v>0</v>
      </c>
      <c r="W179" s="1">
        <f t="shared" si="10"/>
        <v>0</v>
      </c>
      <c r="X179" s="1">
        <f t="shared" si="11"/>
        <v>0</v>
      </c>
    </row>
    <row r="180" spans="2:24" x14ac:dyDescent="0.25">
      <c r="B180" s="11">
        <f>[1]code!B177</f>
        <v>416</v>
      </c>
      <c r="C180" s="2" t="str">
        <f>[1]code!C177</f>
        <v>صوص شوكلاته - المشربية 2 ونص كيلو</v>
      </c>
      <c r="D180" s="2" t="str">
        <f>[1]code!D177</f>
        <v>مواد غذائية (المشربية)</v>
      </c>
      <c r="E180" s="1" t="str">
        <f>[1]code!E177</f>
        <v>لتر</v>
      </c>
      <c r="F180" s="2" t="str">
        <f>[1]code!F177</f>
        <v>مشتريات مباشرة</v>
      </c>
      <c r="G180" s="12">
        <f>[1]code!G177</f>
        <v>61.153549999999996</v>
      </c>
      <c r="I180" s="10">
        <v>61.153549999999996</v>
      </c>
      <c r="J180" s="10">
        <v>61.153549999999996</v>
      </c>
      <c r="K180" s="10">
        <v>61.153549999999996</v>
      </c>
      <c r="L180" s="10">
        <v>61.153549999999996</v>
      </c>
      <c r="M180" s="10" t="str">
        <f>IFERROR(VLOOKUP($B180,[1]INV!$B$7:$H$2575,7,0),"")</f>
        <v/>
      </c>
      <c r="N180" s="10"/>
      <c r="O180" s="10"/>
      <c r="P180" s="10"/>
      <c r="Q180" s="10"/>
      <c r="R180" s="10"/>
      <c r="S180" s="10"/>
      <c r="T180" s="10"/>
      <c r="U180" s="1">
        <f t="shared" si="8"/>
        <v>61.153549999999996</v>
      </c>
      <c r="V180" s="1">
        <f t="shared" si="9"/>
        <v>61.153549999999996</v>
      </c>
      <c r="W180" s="1">
        <f t="shared" si="10"/>
        <v>61.153549999999996</v>
      </c>
      <c r="X180" s="1">
        <f t="shared" si="11"/>
        <v>61.153549999999996</v>
      </c>
    </row>
    <row r="181" spans="2:24" x14ac:dyDescent="0.25">
      <c r="B181" s="11">
        <f>[1]code!B178</f>
        <v>418</v>
      </c>
      <c r="C181" s="2" t="str">
        <f>[1]code!C178</f>
        <v>صوص كراميل - المشربية</v>
      </c>
      <c r="D181" s="2" t="str">
        <f>[1]code!D178</f>
        <v>مواد غذائية (المشربية)</v>
      </c>
      <c r="E181" s="1" t="str">
        <f>[1]code!E178</f>
        <v>لتر</v>
      </c>
      <c r="F181" s="2" t="str">
        <f>[1]code!F178</f>
        <v>مشتريات مباشرة</v>
      </c>
      <c r="G181" s="12">
        <f>[1]code!G178</f>
        <v>0</v>
      </c>
      <c r="I181" s="10">
        <v>0</v>
      </c>
      <c r="J181" s="10">
        <v>0</v>
      </c>
      <c r="K181" s="10">
        <v>0</v>
      </c>
      <c r="L181" s="10">
        <v>0</v>
      </c>
      <c r="M181" s="10" t="str">
        <f>IFERROR(VLOOKUP($B181,[1]INV!$B$7:$H$2575,7,0),"")</f>
        <v/>
      </c>
      <c r="N181" s="10"/>
      <c r="O181" s="10"/>
      <c r="P181" s="10"/>
      <c r="Q181" s="10"/>
      <c r="R181" s="10"/>
      <c r="S181" s="10"/>
      <c r="T181" s="10"/>
      <c r="U181" s="1">
        <f t="shared" si="8"/>
        <v>0</v>
      </c>
      <c r="V181" s="1">
        <f t="shared" si="9"/>
        <v>0</v>
      </c>
      <c r="W181" s="1">
        <f t="shared" si="10"/>
        <v>0</v>
      </c>
      <c r="X181" s="1">
        <f t="shared" si="11"/>
        <v>0</v>
      </c>
    </row>
    <row r="182" spans="2:24" x14ac:dyDescent="0.25">
      <c r="B182" s="11">
        <f>[1]code!B179</f>
        <v>423</v>
      </c>
      <c r="C182" s="2" t="str">
        <f>[1]code!C179</f>
        <v>قهوة بندق - المشربية</v>
      </c>
      <c r="D182" s="2" t="str">
        <f>[1]code!D179</f>
        <v>مواد غذائية (المشربية)</v>
      </c>
      <c r="E182" s="1" t="str">
        <f>[1]code!E179</f>
        <v>كيلو</v>
      </c>
      <c r="F182" s="2" t="str">
        <f>[1]code!F179</f>
        <v>مشتريات مباشرة</v>
      </c>
      <c r="G182" s="12">
        <f>[1]code!G179</f>
        <v>99.2</v>
      </c>
      <c r="I182" s="10">
        <v>99.2</v>
      </c>
      <c r="J182" s="10">
        <v>102.21564166666668</v>
      </c>
      <c r="K182" s="10">
        <v>106.66595000000002</v>
      </c>
      <c r="L182" s="10">
        <v>86.664000000000016</v>
      </c>
      <c r="M182" s="10">
        <f>IFERROR(VLOOKUP($B182,[1]INV!$B$7:$H$2575,7,0),"")</f>
        <v>106.65882000000001</v>
      </c>
      <c r="N182" s="10"/>
      <c r="O182" s="10"/>
      <c r="P182" s="10"/>
      <c r="Q182" s="10"/>
      <c r="R182" s="10"/>
      <c r="S182" s="10"/>
      <c r="T182" s="10"/>
      <c r="U182" s="1">
        <f t="shared" si="8"/>
        <v>99.2</v>
      </c>
      <c r="V182" s="1">
        <f t="shared" si="9"/>
        <v>102.21564166666668</v>
      </c>
      <c r="W182" s="1">
        <f t="shared" si="10"/>
        <v>106.66595000000002</v>
      </c>
      <c r="X182" s="1">
        <f t="shared" si="11"/>
        <v>86.664000000000016</v>
      </c>
    </row>
    <row r="183" spans="2:24" x14ac:dyDescent="0.25">
      <c r="B183" s="11">
        <f>[1]code!B180</f>
        <v>435</v>
      </c>
      <c r="C183" s="2" t="str">
        <f>[1]code!C180</f>
        <v>لوتس مطحون - المشربية</v>
      </c>
      <c r="D183" s="2" t="str">
        <f>[1]code!D180</f>
        <v>مواد غذائية (المشربية)</v>
      </c>
      <c r="E183" s="1" t="str">
        <f>[1]code!E180</f>
        <v>كيلو</v>
      </c>
      <c r="F183" s="2" t="str">
        <f>[1]code!F180</f>
        <v>مشتريات مباشرة</v>
      </c>
      <c r="G183" s="12">
        <f>[1]code!G180</f>
        <v>0</v>
      </c>
      <c r="I183" s="10">
        <v>0</v>
      </c>
      <c r="J183" s="10">
        <v>0</v>
      </c>
      <c r="K183" s="10">
        <v>0</v>
      </c>
      <c r="L183" s="10">
        <v>0</v>
      </c>
      <c r="M183" s="10" t="str">
        <f>IFERROR(VLOOKUP($B183,[1]INV!$B$7:$H$2575,7,0),"")</f>
        <v/>
      </c>
      <c r="N183" s="10"/>
      <c r="O183" s="10"/>
      <c r="P183" s="10"/>
      <c r="Q183" s="10"/>
      <c r="R183" s="10"/>
      <c r="S183" s="10"/>
      <c r="T183" s="10"/>
      <c r="U183" s="1">
        <f t="shared" si="8"/>
        <v>0</v>
      </c>
      <c r="V183" s="1">
        <f t="shared" si="9"/>
        <v>0</v>
      </c>
      <c r="W183" s="1">
        <f t="shared" si="10"/>
        <v>0</v>
      </c>
      <c r="X183" s="1">
        <f t="shared" si="11"/>
        <v>0</v>
      </c>
    </row>
    <row r="184" spans="2:24" x14ac:dyDescent="0.25">
      <c r="B184" s="11">
        <f>[1]code!B181</f>
        <v>442</v>
      </c>
      <c r="C184" s="2" t="str">
        <f>[1]code!C181</f>
        <v>مكسرات مشكلة - المشربية</v>
      </c>
      <c r="D184" s="2" t="str">
        <f>[1]code!D181</f>
        <v>مواد غذائية (المشربية)</v>
      </c>
      <c r="E184" s="1" t="str">
        <f>[1]code!E181</f>
        <v>كيلو</v>
      </c>
      <c r="F184" s="2" t="str">
        <f>[1]code!F181</f>
        <v>مشتريات مباشرة</v>
      </c>
      <c r="G184" s="12">
        <f>[1]code!G181</f>
        <v>86.414694991423673</v>
      </c>
      <c r="I184" s="10">
        <v>86.414694991423673</v>
      </c>
      <c r="J184" s="10">
        <v>67.989724999999993</v>
      </c>
      <c r="K184" s="10">
        <v>75.359670263488084</v>
      </c>
      <c r="L184" s="10">
        <v>73.371177380952389</v>
      </c>
      <c r="M184" s="10">
        <f>IFERROR(VLOOKUP($B184,[1]INV!$B$7:$H$2575,7,0),"")</f>
        <v>75.659718656716421</v>
      </c>
      <c r="N184" s="10"/>
      <c r="O184" s="10"/>
      <c r="P184" s="10"/>
      <c r="Q184" s="10"/>
      <c r="R184" s="10"/>
      <c r="S184" s="10"/>
      <c r="T184" s="10"/>
      <c r="U184" s="1">
        <f t="shared" si="8"/>
        <v>86.414694991423673</v>
      </c>
      <c r="V184" s="1">
        <f t="shared" si="9"/>
        <v>67.989724999999993</v>
      </c>
      <c r="W184" s="1">
        <f t="shared" si="10"/>
        <v>75.359670263488084</v>
      </c>
      <c r="X184" s="1">
        <f t="shared" si="11"/>
        <v>73.371177380952389</v>
      </c>
    </row>
    <row r="185" spans="2:24" x14ac:dyDescent="0.25">
      <c r="B185" s="11">
        <f>[1]code!B182</f>
        <v>450</v>
      </c>
      <c r="C185" s="2" t="str">
        <f>[1]code!C182</f>
        <v>لب مشكل - المشربية</v>
      </c>
      <c r="D185" s="2" t="str">
        <f>[1]code!D182</f>
        <v>مواد غذائية (المشربية)</v>
      </c>
      <c r="E185" s="1" t="str">
        <f>[1]code!E182</f>
        <v>كيلو</v>
      </c>
      <c r="F185" s="2" t="str">
        <f>[1]code!F182</f>
        <v>مشتريات مباشرة</v>
      </c>
      <c r="G185" s="12">
        <f>[1]code!G182</f>
        <v>33.434935357056567</v>
      </c>
      <c r="I185" s="10">
        <v>33.434935357056567</v>
      </c>
      <c r="J185" s="10">
        <v>30.342351020408163</v>
      </c>
      <c r="K185" s="10">
        <v>33.026024358974361</v>
      </c>
      <c r="L185" s="10">
        <v>28.968880467843789</v>
      </c>
      <c r="M185" s="10">
        <f>IFERROR(VLOOKUP($B185,[1]INV!$B$7:$H$2575,7,0),"")</f>
        <v>32.629277963088136</v>
      </c>
      <c r="N185" s="10"/>
      <c r="O185" s="10"/>
      <c r="P185" s="10"/>
      <c r="Q185" s="10"/>
      <c r="R185" s="10"/>
      <c r="S185" s="10"/>
      <c r="T185" s="10"/>
      <c r="U185" s="1">
        <f t="shared" si="8"/>
        <v>33.434935357056567</v>
      </c>
      <c r="V185" s="1">
        <f t="shared" si="9"/>
        <v>30.342351020408163</v>
      </c>
      <c r="W185" s="1">
        <f t="shared" si="10"/>
        <v>33.026024358974361</v>
      </c>
      <c r="X185" s="1">
        <f t="shared" si="11"/>
        <v>28.968880467843789</v>
      </c>
    </row>
    <row r="186" spans="2:24" x14ac:dyDescent="0.25">
      <c r="B186" s="11">
        <f>[1]code!B183</f>
        <v>455</v>
      </c>
      <c r="C186" s="2" t="str">
        <f>[1]code!C183</f>
        <v>كريمة لوتس 8 كيلو - المشربية</v>
      </c>
      <c r="D186" s="2" t="str">
        <f>[1]code!D183</f>
        <v>مواد غذائية (المشربية)</v>
      </c>
      <c r="E186" s="1" t="str">
        <f>[1]code!E183</f>
        <v>كيلو</v>
      </c>
      <c r="F186" s="2" t="str">
        <f>[1]code!F183</f>
        <v>مشتريات مباشرة</v>
      </c>
      <c r="G186" s="12">
        <f>[1]code!G183</f>
        <v>0</v>
      </c>
      <c r="I186" s="10">
        <v>0</v>
      </c>
      <c r="J186" s="10">
        <v>0</v>
      </c>
      <c r="K186" s="10">
        <v>0</v>
      </c>
      <c r="L186" s="10">
        <v>0</v>
      </c>
      <c r="M186" s="10" t="str">
        <f>IFERROR(VLOOKUP($B186,[1]INV!$B$7:$H$2575,7,0),"")</f>
        <v/>
      </c>
      <c r="N186" s="10"/>
      <c r="O186" s="10"/>
      <c r="P186" s="10"/>
      <c r="Q186" s="10"/>
      <c r="R186" s="10"/>
      <c r="S186" s="10"/>
      <c r="T186" s="10"/>
      <c r="U186" s="1">
        <f t="shared" si="8"/>
        <v>0</v>
      </c>
      <c r="V186" s="1">
        <f t="shared" si="9"/>
        <v>0</v>
      </c>
      <c r="W186" s="1">
        <f t="shared" si="10"/>
        <v>0</v>
      </c>
      <c r="X186" s="1">
        <f t="shared" si="11"/>
        <v>0</v>
      </c>
    </row>
    <row r="187" spans="2:24" x14ac:dyDescent="0.25">
      <c r="B187" s="11">
        <f>[1]code!B184</f>
        <v>468</v>
      </c>
      <c r="C187" s="2" t="str">
        <f>[1]code!C184</f>
        <v>كريمة كندر 5 كيلو - المشربية</v>
      </c>
      <c r="D187" s="2" t="str">
        <f>[1]code!D184</f>
        <v>مواد غذائية (المشربية)</v>
      </c>
      <c r="E187" s="1" t="str">
        <f>[1]code!E184</f>
        <v>كيلو</v>
      </c>
      <c r="F187" s="2" t="str">
        <f>[1]code!F184</f>
        <v>مشتريات مباشرة</v>
      </c>
      <c r="G187" s="12">
        <f>[1]code!G184</f>
        <v>0</v>
      </c>
      <c r="I187" s="10">
        <v>0</v>
      </c>
      <c r="J187" s="10">
        <v>0</v>
      </c>
      <c r="K187" s="10">
        <v>0</v>
      </c>
      <c r="L187" s="10">
        <v>0</v>
      </c>
      <c r="M187" s="10" t="str">
        <f>IFERROR(VLOOKUP($B187,[1]INV!$B$7:$H$2575,7,0),"")</f>
        <v/>
      </c>
      <c r="N187" s="10"/>
      <c r="O187" s="10"/>
      <c r="P187" s="10"/>
      <c r="Q187" s="10"/>
      <c r="R187" s="10"/>
      <c r="S187" s="10"/>
      <c r="T187" s="10"/>
      <c r="U187" s="1">
        <f t="shared" si="8"/>
        <v>0</v>
      </c>
      <c r="V187" s="1">
        <f t="shared" si="9"/>
        <v>0</v>
      </c>
      <c r="W187" s="1">
        <f t="shared" si="10"/>
        <v>0</v>
      </c>
      <c r="X187" s="1">
        <f t="shared" si="11"/>
        <v>0</v>
      </c>
    </row>
    <row r="188" spans="2:24" x14ac:dyDescent="0.25">
      <c r="B188" s="11">
        <f>[1]code!B185</f>
        <v>469</v>
      </c>
      <c r="C188" s="2" t="str">
        <f>[1]code!C185</f>
        <v>صوص بستاشيو 5.5 كيلو - المشربية</v>
      </c>
      <c r="D188" s="2" t="str">
        <f>[1]code!D185</f>
        <v>مواد غذائية (المشربية)</v>
      </c>
      <c r="E188" s="1" t="str">
        <f>[1]code!E185</f>
        <v>كيلو</v>
      </c>
      <c r="F188" s="2" t="str">
        <f>[1]code!F185</f>
        <v>مشتريات مباشرة</v>
      </c>
      <c r="G188" s="12">
        <f>[1]code!G185</f>
        <v>0</v>
      </c>
      <c r="I188" s="10">
        <v>0</v>
      </c>
      <c r="J188" s="10">
        <v>0</v>
      </c>
      <c r="K188" s="10">
        <v>0</v>
      </c>
      <c r="L188" s="10">
        <v>0</v>
      </c>
      <c r="M188" s="10" t="str">
        <f>IFERROR(VLOOKUP($B188,[1]INV!$B$7:$H$2575,7,0),"")</f>
        <v/>
      </c>
      <c r="N188" s="10"/>
      <c r="O188" s="10"/>
      <c r="P188" s="10"/>
      <c r="Q188" s="10"/>
      <c r="R188" s="10"/>
      <c r="S188" s="10"/>
      <c r="T188" s="10"/>
      <c r="U188" s="1">
        <f t="shared" si="8"/>
        <v>0</v>
      </c>
      <c r="V188" s="1">
        <f t="shared" si="9"/>
        <v>0</v>
      </c>
      <c r="W188" s="1">
        <f t="shared" si="10"/>
        <v>0</v>
      </c>
      <c r="X188" s="1">
        <f t="shared" si="11"/>
        <v>0</v>
      </c>
    </row>
    <row r="189" spans="2:24" x14ac:dyDescent="0.25">
      <c r="B189" s="11">
        <f>[1]code!B186</f>
        <v>478</v>
      </c>
      <c r="C189" s="2" t="str">
        <f>[1]code!C186</f>
        <v>بسكويت كندر</v>
      </c>
      <c r="D189" s="2" t="str">
        <f>[1]code!D186</f>
        <v>مواد غذائية (المشربية)</v>
      </c>
      <c r="E189" s="1" t="str">
        <f>[1]code!E186</f>
        <v>حبة</v>
      </c>
      <c r="F189" s="2" t="str">
        <f>[1]code!F186</f>
        <v>مشتريات مباشرة</v>
      </c>
      <c r="G189" s="12">
        <f>[1]code!G186</f>
        <v>3.5</v>
      </c>
      <c r="I189" s="10">
        <v>3.5</v>
      </c>
      <c r="J189" s="10">
        <v>3.5</v>
      </c>
      <c r="K189" s="10">
        <v>3.5</v>
      </c>
      <c r="L189" s="10">
        <v>3.5</v>
      </c>
      <c r="M189" s="10" t="str">
        <f>IFERROR(VLOOKUP($B189,[1]INV!$B$7:$H$2575,7,0),"")</f>
        <v/>
      </c>
      <c r="N189" s="10"/>
      <c r="O189" s="10"/>
      <c r="P189" s="10"/>
      <c r="Q189" s="10"/>
      <c r="R189" s="10"/>
      <c r="S189" s="10"/>
      <c r="T189" s="10"/>
      <c r="U189" s="1">
        <f t="shared" si="8"/>
        <v>3.5</v>
      </c>
      <c r="V189" s="1">
        <f t="shared" si="9"/>
        <v>3.5</v>
      </c>
      <c r="W189" s="1">
        <f t="shared" si="10"/>
        <v>3.5</v>
      </c>
      <c r="X189" s="1">
        <f t="shared" si="11"/>
        <v>3.5</v>
      </c>
    </row>
    <row r="190" spans="2:24" x14ac:dyDescent="0.25">
      <c r="B190" s="11">
        <f>[1]code!B187</f>
        <v>479</v>
      </c>
      <c r="C190" s="2" t="str">
        <f>[1]code!C187</f>
        <v>بسكويت لوتس</v>
      </c>
      <c r="D190" s="2" t="str">
        <f>[1]code!D187</f>
        <v>مواد غذائية (المشربية)</v>
      </c>
      <c r="E190" s="1" t="str">
        <f>[1]code!E187</f>
        <v>حبة</v>
      </c>
      <c r="F190" s="2" t="str">
        <f>[1]code!F187</f>
        <v>مشتريات مباشرة</v>
      </c>
      <c r="G190" s="12">
        <f>[1]code!G187</f>
        <v>0.30772257111111112</v>
      </c>
      <c r="I190" s="10">
        <v>0.30772257111111112</v>
      </c>
      <c r="J190" s="10">
        <v>0.28749999999999998</v>
      </c>
      <c r="K190" s="10">
        <v>0.28749999999999998</v>
      </c>
      <c r="L190" s="10">
        <v>0.28749999999999998</v>
      </c>
      <c r="M190" s="10">
        <f>IFERROR(VLOOKUP($B190,[1]INV!$B$7:$H$2575,7,0),"")</f>
        <v>0.28749999999999998</v>
      </c>
      <c r="N190" s="10"/>
      <c r="O190" s="10"/>
      <c r="P190" s="10"/>
      <c r="Q190" s="10"/>
      <c r="R190" s="10"/>
      <c r="S190" s="10"/>
      <c r="T190" s="10"/>
      <c r="U190" s="1">
        <f t="shared" si="8"/>
        <v>0.30772257111111112</v>
      </c>
      <c r="V190" s="1">
        <f t="shared" si="9"/>
        <v>0.28749999999999998</v>
      </c>
      <c r="W190" s="1">
        <f t="shared" si="10"/>
        <v>0.28749999999999998</v>
      </c>
      <c r="X190" s="1">
        <f t="shared" si="11"/>
        <v>0.28749999999999998</v>
      </c>
    </row>
    <row r="191" spans="2:24" x14ac:dyDescent="0.25">
      <c r="B191" s="11">
        <f>[1]code!B188</f>
        <v>482</v>
      </c>
      <c r="C191" s="2" t="str">
        <f>[1]code!C188</f>
        <v>جبنة فيلادلفيا كريم 500 جرام</v>
      </c>
      <c r="D191" s="2" t="str">
        <f>[1]code!D188</f>
        <v>مواد غذائية (المشربية)</v>
      </c>
      <c r="E191" s="1" t="str">
        <f>[1]code!E188</f>
        <v>علبة</v>
      </c>
      <c r="F191" s="2" t="str">
        <f>[1]code!F188</f>
        <v>مشتريات مباشرة</v>
      </c>
      <c r="G191" s="12">
        <f>[1]code!G188</f>
        <v>62.9</v>
      </c>
      <c r="I191" s="10">
        <v>62.9</v>
      </c>
      <c r="J191" s="10">
        <v>62.9</v>
      </c>
      <c r="K191" s="10">
        <v>62.9</v>
      </c>
      <c r="L191" s="10">
        <v>62.9</v>
      </c>
      <c r="M191" s="10" t="str">
        <f>IFERROR(VLOOKUP($B191,[1]INV!$B$7:$H$2575,7,0),"")</f>
        <v/>
      </c>
      <c r="N191" s="10"/>
      <c r="O191" s="10"/>
      <c r="P191" s="10"/>
      <c r="Q191" s="10"/>
      <c r="R191" s="10"/>
      <c r="S191" s="10"/>
      <c r="T191" s="10"/>
      <c r="U191" s="1">
        <f t="shared" si="8"/>
        <v>62.9</v>
      </c>
      <c r="V191" s="1">
        <f t="shared" si="9"/>
        <v>62.9</v>
      </c>
      <c r="W191" s="1">
        <f t="shared" si="10"/>
        <v>62.9</v>
      </c>
      <c r="X191" s="1">
        <f t="shared" si="11"/>
        <v>62.9</v>
      </c>
    </row>
    <row r="192" spans="2:24" x14ac:dyDescent="0.25">
      <c r="B192" s="11">
        <f>[1]code!B189</f>
        <v>483</v>
      </c>
      <c r="C192" s="2" t="str">
        <f>[1]code!C189</f>
        <v>بسكويت أوريو</v>
      </c>
      <c r="D192" s="2" t="str">
        <f>[1]code!D189</f>
        <v>مواد غذائية (المشربية)</v>
      </c>
      <c r="E192" s="1" t="str">
        <f>[1]code!E189</f>
        <v>حبة</v>
      </c>
      <c r="F192" s="2" t="str">
        <f>[1]code!F189</f>
        <v>مشتريات مباشرة</v>
      </c>
      <c r="G192" s="12">
        <f>[1]code!G189</f>
        <v>0.83</v>
      </c>
      <c r="I192" s="10">
        <v>0.83</v>
      </c>
      <c r="J192" s="10">
        <v>0.83</v>
      </c>
      <c r="K192" s="10">
        <v>0.83</v>
      </c>
      <c r="L192" s="10">
        <v>0.83</v>
      </c>
      <c r="M192" s="10" t="str">
        <f>IFERROR(VLOOKUP($B192,[1]INV!$B$7:$H$2575,7,0),"")</f>
        <v/>
      </c>
      <c r="N192" s="10"/>
      <c r="O192" s="10"/>
      <c r="P192" s="10"/>
      <c r="Q192" s="10"/>
      <c r="R192" s="10"/>
      <c r="S192" s="10"/>
      <c r="T192" s="10"/>
      <c r="U192" s="1">
        <f t="shared" si="8"/>
        <v>0.83</v>
      </c>
      <c r="V192" s="1">
        <f t="shared" si="9"/>
        <v>0.83</v>
      </c>
      <c r="W192" s="1">
        <f t="shared" si="10"/>
        <v>0.83</v>
      </c>
      <c r="X192" s="1">
        <f t="shared" si="11"/>
        <v>0.83</v>
      </c>
    </row>
    <row r="193" spans="2:24" x14ac:dyDescent="0.25">
      <c r="B193" s="11">
        <f>[1]code!B190</f>
        <v>484</v>
      </c>
      <c r="C193" s="2" t="str">
        <f>[1]code!C190</f>
        <v>كريمة عابد</v>
      </c>
      <c r="D193" s="2" t="str">
        <f>[1]code!D190</f>
        <v>مواد غذائية (المشربية)</v>
      </c>
      <c r="E193" s="1" t="str">
        <f>[1]code!E190</f>
        <v>لتر</v>
      </c>
      <c r="F193" s="2" t="str">
        <f>[1]code!F190</f>
        <v>مشتريات مباشرة</v>
      </c>
      <c r="G193" s="12">
        <f>[1]code!G190</f>
        <v>16.085707142857142</v>
      </c>
      <c r="I193" s="10">
        <v>16.085707142857142</v>
      </c>
      <c r="J193" s="10">
        <v>16.085707142857142</v>
      </c>
      <c r="K193" s="10">
        <v>16.085707142857142</v>
      </c>
      <c r="L193" s="10">
        <v>13.8</v>
      </c>
      <c r="M193" s="10">
        <f>IFERROR(VLOOKUP($B193,[1]INV!$B$7:$H$2575,7,0),"")</f>
        <v>13.8</v>
      </c>
      <c r="N193" s="10"/>
      <c r="O193" s="10"/>
      <c r="P193" s="10"/>
      <c r="Q193" s="10"/>
      <c r="R193" s="10"/>
      <c r="S193" s="10"/>
      <c r="T193" s="10"/>
      <c r="U193" s="1">
        <f t="shared" si="8"/>
        <v>16.085707142857142</v>
      </c>
      <c r="V193" s="1">
        <f t="shared" si="9"/>
        <v>16.085707142857142</v>
      </c>
      <c r="W193" s="1">
        <f t="shared" si="10"/>
        <v>16.085707142857142</v>
      </c>
      <c r="X193" s="1">
        <f t="shared" si="11"/>
        <v>13.8</v>
      </c>
    </row>
    <row r="194" spans="2:24" x14ac:dyDescent="0.25">
      <c r="B194" s="11">
        <f>[1]code!B191</f>
        <v>485</v>
      </c>
      <c r="C194" s="2" t="str">
        <f>[1]code!C191</f>
        <v>سحلب - المشربية</v>
      </c>
      <c r="D194" s="2" t="str">
        <f>[1]code!D191</f>
        <v>مواد غذائية (المشربية)</v>
      </c>
      <c r="E194" s="1" t="str">
        <f>[1]code!E191</f>
        <v>كيلو</v>
      </c>
      <c r="F194" s="2" t="str">
        <f>[1]code!F191</f>
        <v>مشتريات مباشرة</v>
      </c>
      <c r="G194" s="12">
        <f>[1]code!G191</f>
        <v>36.361311702127658</v>
      </c>
      <c r="I194" s="10">
        <v>36.361311702127658</v>
      </c>
      <c r="J194" s="10">
        <v>29.900000000000002</v>
      </c>
      <c r="K194" s="10">
        <v>29.900000000000002</v>
      </c>
      <c r="L194" s="10">
        <v>29.900000000000002</v>
      </c>
      <c r="M194" s="10" t="str">
        <f>IFERROR(VLOOKUP($B194,[1]INV!$B$7:$H$2575,7,0),"")</f>
        <v/>
      </c>
      <c r="N194" s="10"/>
      <c r="O194" s="10"/>
      <c r="P194" s="10"/>
      <c r="Q194" s="10"/>
      <c r="R194" s="10"/>
      <c r="S194" s="10"/>
      <c r="T194" s="10"/>
      <c r="U194" s="1">
        <f t="shared" si="8"/>
        <v>36.361311702127658</v>
      </c>
      <c r="V194" s="1">
        <f t="shared" si="9"/>
        <v>29.900000000000002</v>
      </c>
      <c r="W194" s="1">
        <f t="shared" si="10"/>
        <v>29.900000000000002</v>
      </c>
      <c r="X194" s="1">
        <f t="shared" si="11"/>
        <v>29.900000000000002</v>
      </c>
    </row>
    <row r="195" spans="2:24" x14ac:dyDescent="0.25">
      <c r="B195" s="11">
        <f>[1]code!B192</f>
        <v>487</v>
      </c>
      <c r="C195" s="2" t="str">
        <f>[1]code!C192</f>
        <v xml:space="preserve">بيج بودر </v>
      </c>
      <c r="D195" s="2" t="str">
        <f>[1]code!D192</f>
        <v>مواد غذائية (المشربية)</v>
      </c>
      <c r="E195" s="1" t="str">
        <f>[1]code!E192</f>
        <v>كيلو</v>
      </c>
      <c r="F195" s="2" t="str">
        <f>[1]code!F192</f>
        <v>مشتريات مباشرة</v>
      </c>
      <c r="G195" s="12">
        <f>[1]code!G192</f>
        <v>12.9</v>
      </c>
      <c r="I195" s="10">
        <v>12.9</v>
      </c>
      <c r="J195" s="10">
        <v>12.9</v>
      </c>
      <c r="K195" s="10">
        <v>12.9</v>
      </c>
      <c r="L195" s="10">
        <v>12.9</v>
      </c>
      <c r="M195" s="10">
        <f>IFERROR(VLOOKUP($B195,[1]INV!$B$7:$H$2575,7,0),"")</f>
        <v>15.045136363636361</v>
      </c>
      <c r="N195" s="10"/>
      <c r="O195" s="10"/>
      <c r="P195" s="10"/>
      <c r="Q195" s="10"/>
      <c r="R195" s="10"/>
      <c r="S195" s="10"/>
      <c r="T195" s="10"/>
      <c r="U195" s="1">
        <f t="shared" si="8"/>
        <v>12.9</v>
      </c>
      <c r="V195" s="1">
        <f t="shared" si="9"/>
        <v>12.9</v>
      </c>
      <c r="W195" s="1">
        <f t="shared" si="10"/>
        <v>12.9</v>
      </c>
      <c r="X195" s="1">
        <f t="shared" si="11"/>
        <v>12.9</v>
      </c>
    </row>
    <row r="196" spans="2:24" x14ac:dyDescent="0.25">
      <c r="B196" s="11">
        <f>[1]code!B193</f>
        <v>488</v>
      </c>
      <c r="C196" s="2" t="str">
        <f>[1]code!C193</f>
        <v>فانيلا</v>
      </c>
      <c r="D196" s="2" t="str">
        <f>[1]code!D193</f>
        <v>مواد غذائية (المشربية)</v>
      </c>
      <c r="E196" s="1" t="str">
        <f>[1]code!E193</f>
        <v>كيلو</v>
      </c>
      <c r="F196" s="2" t="str">
        <f>[1]code!F193</f>
        <v>مشتريات مباشرة</v>
      </c>
      <c r="G196" s="12">
        <f>[1]code!G193</f>
        <v>2.9992000000000001</v>
      </c>
      <c r="I196" s="10">
        <v>2.9992000000000001</v>
      </c>
      <c r="J196" s="10">
        <v>2.5001000000000002</v>
      </c>
      <c r="K196" s="10">
        <v>2.5001000000000002</v>
      </c>
      <c r="L196" s="10">
        <v>2.5001000000000002</v>
      </c>
      <c r="M196" s="10">
        <f>IFERROR(VLOOKUP($B196,[1]INV!$B$7:$H$2575,7,0),"")</f>
        <v>2.4172999999999996</v>
      </c>
      <c r="N196" s="10"/>
      <c r="O196" s="10"/>
      <c r="P196" s="10"/>
      <c r="Q196" s="10"/>
      <c r="R196" s="10"/>
      <c r="S196" s="10"/>
      <c r="T196" s="10"/>
      <c r="U196" s="1">
        <f t="shared" si="8"/>
        <v>2.9992000000000001</v>
      </c>
      <c r="V196" s="1">
        <f t="shared" si="9"/>
        <v>2.5001000000000002</v>
      </c>
      <c r="W196" s="1">
        <f t="shared" si="10"/>
        <v>2.5001000000000002</v>
      </c>
      <c r="X196" s="1">
        <f t="shared" si="11"/>
        <v>2.5001000000000002</v>
      </c>
    </row>
    <row r="197" spans="2:24" x14ac:dyDescent="0.25">
      <c r="B197" s="11">
        <f>[1]code!B194</f>
        <v>489</v>
      </c>
      <c r="C197" s="2" t="str">
        <f>[1]code!C194</f>
        <v>عسل 1 كيلو</v>
      </c>
      <c r="D197" s="2" t="str">
        <f>[1]code!D194</f>
        <v>مواد غذائية (المشربية)</v>
      </c>
      <c r="E197" s="1" t="str">
        <f>[1]code!E194</f>
        <v>كيلو</v>
      </c>
      <c r="F197" s="2" t="str">
        <f>[1]code!F194</f>
        <v>مشتريات مباشرة</v>
      </c>
      <c r="G197" s="12">
        <f>[1]code!G194</f>
        <v>47.001419999999996</v>
      </c>
      <c r="I197" s="10">
        <v>47.001419999999996</v>
      </c>
      <c r="J197" s="10">
        <v>46.33273333333333</v>
      </c>
      <c r="K197" s="10">
        <v>55.8003</v>
      </c>
      <c r="L197" s="10">
        <v>50.341761111111111</v>
      </c>
      <c r="M197" s="10">
        <f>IFERROR(VLOOKUP($B197,[1]INV!$B$7:$H$2575,7,0),"")</f>
        <v>47.899799999999999</v>
      </c>
      <c r="N197" s="10"/>
      <c r="O197" s="10"/>
      <c r="P197" s="10"/>
      <c r="Q197" s="10"/>
      <c r="R197" s="10"/>
      <c r="S197" s="10"/>
      <c r="T197" s="10"/>
      <c r="U197" s="1">
        <f t="shared" si="8"/>
        <v>47.001419999999996</v>
      </c>
      <c r="V197" s="1">
        <f t="shared" si="9"/>
        <v>46.33273333333333</v>
      </c>
      <c r="W197" s="1">
        <f t="shared" si="10"/>
        <v>55.8003</v>
      </c>
      <c r="X197" s="1">
        <f t="shared" si="11"/>
        <v>50.341761111111111</v>
      </c>
    </row>
    <row r="198" spans="2:24" x14ac:dyDescent="0.25">
      <c r="B198" s="11">
        <f>[1]code!B195</f>
        <v>492</v>
      </c>
      <c r="C198" s="2" t="str">
        <f>[1]code!C195</f>
        <v>دريم ويب شانتيه 144 جرام - المشربية</v>
      </c>
      <c r="D198" s="2" t="str">
        <f>[1]code!D195</f>
        <v>مواد غذائية (المشربية)</v>
      </c>
      <c r="E198" s="1" t="str">
        <f>[1]code!E195</f>
        <v>علبة</v>
      </c>
      <c r="F198" s="2" t="str">
        <f>[1]code!F195</f>
        <v>مشتريات مباشرة</v>
      </c>
      <c r="G198" s="12">
        <f>[1]code!G195</f>
        <v>91.64</v>
      </c>
      <c r="I198" s="10">
        <v>91.64</v>
      </c>
      <c r="J198" s="10">
        <v>91.64</v>
      </c>
      <c r="K198" s="10">
        <v>91.64</v>
      </c>
      <c r="L198" s="10">
        <v>91.64</v>
      </c>
      <c r="M198" s="10" t="str">
        <f>IFERROR(VLOOKUP($B198,[1]INV!$B$7:$H$2575,7,0),"")</f>
        <v/>
      </c>
      <c r="N198" s="10"/>
      <c r="O198" s="10"/>
      <c r="P198" s="10"/>
      <c r="Q198" s="10"/>
      <c r="R198" s="10"/>
      <c r="S198" s="10"/>
      <c r="T198" s="10"/>
      <c r="U198" s="1">
        <f t="shared" si="8"/>
        <v>91.64</v>
      </c>
      <c r="V198" s="1">
        <f t="shared" si="9"/>
        <v>91.64</v>
      </c>
      <c r="W198" s="1">
        <f t="shared" si="10"/>
        <v>91.64</v>
      </c>
      <c r="X198" s="1">
        <f t="shared" si="11"/>
        <v>91.64</v>
      </c>
    </row>
    <row r="199" spans="2:24" x14ac:dyDescent="0.25">
      <c r="B199" s="11">
        <f>[1]code!B196</f>
        <v>497</v>
      </c>
      <c r="C199" s="2" t="str">
        <f>[1]code!C196</f>
        <v>نوتيلا شكولاته 3 كيلو - المشربية</v>
      </c>
      <c r="D199" s="2" t="str">
        <f>[1]code!D196</f>
        <v>مواد غذائية (المشربية)</v>
      </c>
      <c r="E199" s="1" t="str">
        <f>[1]code!E196</f>
        <v>كيلو</v>
      </c>
      <c r="F199" s="2" t="str">
        <f>[1]code!F196</f>
        <v>مشتريات مباشرة</v>
      </c>
      <c r="G199" s="12">
        <f>[1]code!G196</f>
        <v>35.15</v>
      </c>
      <c r="I199" s="10">
        <v>35.15</v>
      </c>
      <c r="J199" s="10">
        <v>35.15</v>
      </c>
      <c r="K199" s="10">
        <v>35.15</v>
      </c>
      <c r="L199" s="10">
        <v>35.15</v>
      </c>
      <c r="M199" s="10" t="str">
        <f>IFERROR(VLOOKUP($B199,[1]INV!$B$7:$H$2575,7,0),"")</f>
        <v/>
      </c>
      <c r="N199" s="10"/>
      <c r="O199" s="10"/>
      <c r="P199" s="10"/>
      <c r="Q199" s="10"/>
      <c r="R199" s="10"/>
      <c r="S199" s="10"/>
      <c r="T199" s="10"/>
      <c r="U199" s="1">
        <f t="shared" si="8"/>
        <v>35.15</v>
      </c>
      <c r="V199" s="1">
        <f t="shared" si="9"/>
        <v>35.15</v>
      </c>
      <c r="W199" s="1">
        <f t="shared" si="10"/>
        <v>35.15</v>
      </c>
      <c r="X199" s="1">
        <f t="shared" si="11"/>
        <v>35.15</v>
      </c>
    </row>
    <row r="200" spans="2:24" x14ac:dyDescent="0.25">
      <c r="B200" s="11">
        <f>[1]code!B197</f>
        <v>557</v>
      </c>
      <c r="C200" s="2" t="str">
        <f>[1]code!C197</f>
        <v>شاي انجليزي</v>
      </c>
      <c r="D200" s="2" t="str">
        <f>[1]code!D197</f>
        <v>مواد غذائية (المشربية)</v>
      </c>
      <c r="E200" s="1" t="str">
        <f>[1]code!E197</f>
        <v>كيلو</v>
      </c>
      <c r="F200" s="2" t="str">
        <f>[1]code!F197</f>
        <v>مشتريات مباشرة</v>
      </c>
      <c r="G200" s="12">
        <f>[1]code!G197</f>
        <v>0</v>
      </c>
      <c r="I200" s="10">
        <v>0</v>
      </c>
      <c r="J200" s="10">
        <v>0</v>
      </c>
      <c r="K200" s="10">
        <v>0</v>
      </c>
      <c r="L200" s="10">
        <v>0</v>
      </c>
      <c r="M200" s="10" t="str">
        <f>IFERROR(VLOOKUP($B200,[1]INV!$B$7:$H$2575,7,0),"")</f>
        <v/>
      </c>
      <c r="N200" s="10"/>
      <c r="O200" s="10"/>
      <c r="P200" s="10"/>
      <c r="Q200" s="10"/>
      <c r="R200" s="10"/>
      <c r="S200" s="10"/>
      <c r="T200" s="10"/>
      <c r="U200" s="1">
        <f t="shared" ref="U200:U263" si="12">IF($I200="",$G200,$I200)</f>
        <v>0</v>
      </c>
      <c r="V200" s="1">
        <f t="shared" ref="V200:V263" si="13">IF($J200="",$I200,$J200)</f>
        <v>0</v>
      </c>
      <c r="W200" s="1">
        <f t="shared" ref="W200:W263" si="14">IF($K200="",$J200,$K200)</f>
        <v>0</v>
      </c>
      <c r="X200" s="1">
        <f t="shared" ref="X200:X263" si="15">IF($L200="",$K200,$L200)</f>
        <v>0</v>
      </c>
    </row>
    <row r="201" spans="2:24" x14ac:dyDescent="0.25">
      <c r="B201" s="11">
        <f>[1]code!B198</f>
        <v>602</v>
      </c>
      <c r="C201" s="2" t="str">
        <f>[1]code!C198</f>
        <v>زبيب</v>
      </c>
      <c r="D201" s="2" t="str">
        <f>[1]code!D198</f>
        <v>مواد غذائية (المشربية)</v>
      </c>
      <c r="E201" s="1" t="str">
        <f>[1]code!E198</f>
        <v>كيلو</v>
      </c>
      <c r="F201" s="2" t="str">
        <f>[1]code!F198</f>
        <v>مشتريات مباشرة</v>
      </c>
      <c r="G201" s="12">
        <f>[1]code!G198</f>
        <v>17.25</v>
      </c>
      <c r="I201" s="10">
        <v>17.25</v>
      </c>
      <c r="J201" s="10">
        <v>17.25</v>
      </c>
      <c r="K201" s="10">
        <v>17.25</v>
      </c>
      <c r="L201" s="10">
        <v>17.25</v>
      </c>
      <c r="M201" s="10" t="str">
        <f>IFERROR(VLOOKUP($B201,[1]INV!$B$7:$H$2575,7,0),"")</f>
        <v/>
      </c>
      <c r="N201" s="10"/>
      <c r="O201" s="10"/>
      <c r="P201" s="10"/>
      <c r="Q201" s="10"/>
      <c r="R201" s="10"/>
      <c r="S201" s="10"/>
      <c r="T201" s="10"/>
      <c r="U201" s="1">
        <f t="shared" si="12"/>
        <v>17.25</v>
      </c>
      <c r="V201" s="1">
        <f t="shared" si="13"/>
        <v>17.25</v>
      </c>
      <c r="W201" s="1">
        <f t="shared" si="14"/>
        <v>17.25</v>
      </c>
      <c r="X201" s="1">
        <f t="shared" si="15"/>
        <v>17.25</v>
      </c>
    </row>
    <row r="202" spans="2:24" x14ac:dyDescent="0.25">
      <c r="B202" s="11">
        <f>[1]code!B199</f>
        <v>790</v>
      </c>
      <c r="C202" s="2" t="str">
        <f>[1]code!C199</f>
        <v>زيت دلال 17 لتر</v>
      </c>
      <c r="D202" s="2" t="str">
        <f>[1]code!D199</f>
        <v>مواد غذائية (المشربية)</v>
      </c>
      <c r="E202" s="1" t="str">
        <f>[1]code!E199</f>
        <v>تنك</v>
      </c>
      <c r="F202" s="2" t="str">
        <f>[1]code!F199</f>
        <v>الفارس العالمي</v>
      </c>
      <c r="G202" s="12">
        <f>[1]code!G199</f>
        <v>105.8</v>
      </c>
      <c r="I202" s="10">
        <v>105.8</v>
      </c>
      <c r="J202" s="10">
        <v>105.8</v>
      </c>
      <c r="K202" s="10">
        <v>105.8</v>
      </c>
      <c r="L202" s="10">
        <v>105.8</v>
      </c>
      <c r="M202" s="10" t="str">
        <f>IFERROR(VLOOKUP($B202,[1]INV!$B$7:$H$2575,7,0),"")</f>
        <v/>
      </c>
      <c r="N202" s="10"/>
      <c r="O202" s="10"/>
      <c r="P202" s="10"/>
      <c r="Q202" s="10"/>
      <c r="R202" s="10"/>
      <c r="S202" s="10"/>
      <c r="T202" s="10"/>
      <c r="U202" s="1">
        <f t="shared" si="12"/>
        <v>105.8</v>
      </c>
      <c r="V202" s="1">
        <f t="shared" si="13"/>
        <v>105.8</v>
      </c>
      <c r="W202" s="1">
        <f t="shared" si="14"/>
        <v>105.8</v>
      </c>
      <c r="X202" s="1">
        <f t="shared" si="15"/>
        <v>105.8</v>
      </c>
    </row>
    <row r="203" spans="2:24" x14ac:dyDescent="0.25">
      <c r="B203" s="11">
        <f>[1]code!B200</f>
        <v>739</v>
      </c>
      <c r="C203" s="2" t="str">
        <f>[1]code!C200</f>
        <v>استربس كرتونة 10كيس * 750 جرام</v>
      </c>
      <c r="D203" s="2" t="str">
        <f>[1]code!D200</f>
        <v>مواد غذائية (المشربية)</v>
      </c>
      <c r="E203" s="1" t="str">
        <f>[1]code!E200</f>
        <v>كيلو</v>
      </c>
      <c r="F203" s="2" t="str">
        <f>[1]code!F200</f>
        <v>امريكانا</v>
      </c>
      <c r="G203" s="12">
        <f>[1]code!G200</f>
        <v>27.420281325301204</v>
      </c>
      <c r="I203" s="10">
        <v>27.420281325301204</v>
      </c>
      <c r="J203" s="10">
        <v>26.451150000000002</v>
      </c>
      <c r="K203" s="10">
        <v>26.451150000000002</v>
      </c>
      <c r="L203" s="10">
        <v>26.451150000000002</v>
      </c>
      <c r="M203" s="10">
        <f>IFERROR(VLOOKUP($B203,[1]INV!$B$7:$H$2575,7,0),"")</f>
        <v>26.45</v>
      </c>
      <c r="N203" s="10"/>
      <c r="O203" s="10"/>
      <c r="P203" s="10"/>
      <c r="Q203" s="10"/>
      <c r="R203" s="10"/>
      <c r="S203" s="10"/>
      <c r="T203" s="10"/>
      <c r="U203" s="1">
        <f t="shared" si="12"/>
        <v>27.420281325301204</v>
      </c>
      <c r="V203" s="1">
        <f t="shared" si="13"/>
        <v>26.451150000000002</v>
      </c>
      <c r="W203" s="1">
        <f t="shared" si="14"/>
        <v>26.451150000000002</v>
      </c>
      <c r="X203" s="1">
        <f t="shared" si="15"/>
        <v>26.451150000000002</v>
      </c>
    </row>
    <row r="204" spans="2:24" x14ac:dyDescent="0.25">
      <c r="B204" s="11">
        <f>[1]code!B201</f>
        <v>628</v>
      </c>
      <c r="C204" s="2" t="str">
        <f>[1]code!C201</f>
        <v>فول مجروش</v>
      </c>
      <c r="D204" s="2" t="str">
        <f>[1]code!D201</f>
        <v>مواد غذائية (المشربية)</v>
      </c>
      <c r="E204" s="1" t="str">
        <f>[1]code!E201</f>
        <v>كيلو</v>
      </c>
      <c r="F204" s="2" t="str">
        <f>[1]code!F201</f>
        <v>مشتريات مباشرة</v>
      </c>
      <c r="G204" s="12">
        <f>[1]code!G201</f>
        <v>26.385599999999997</v>
      </c>
      <c r="I204" s="10">
        <v>26.385599999999997</v>
      </c>
      <c r="J204" s="10">
        <v>26.385599999999997</v>
      </c>
      <c r="K204" s="10">
        <v>26.385599999999997</v>
      </c>
      <c r="L204" s="10">
        <v>26.385599999999997</v>
      </c>
      <c r="M204" s="10" t="str">
        <f>IFERROR(VLOOKUP($B204,[1]INV!$B$7:$H$2575,7,0),"")</f>
        <v/>
      </c>
      <c r="N204" s="10"/>
      <c r="O204" s="10"/>
      <c r="P204" s="10"/>
      <c r="Q204" s="10"/>
      <c r="R204" s="10"/>
      <c r="S204" s="10"/>
      <c r="T204" s="10"/>
      <c r="U204" s="1">
        <f t="shared" si="12"/>
        <v>26.385599999999997</v>
      </c>
      <c r="V204" s="1">
        <f t="shared" si="13"/>
        <v>26.385599999999997</v>
      </c>
      <c r="W204" s="1">
        <f t="shared" si="14"/>
        <v>26.385599999999997</v>
      </c>
      <c r="X204" s="1">
        <f t="shared" si="15"/>
        <v>26.385599999999997</v>
      </c>
    </row>
    <row r="205" spans="2:24" x14ac:dyDescent="0.25">
      <c r="B205" s="11">
        <f>[1]code!B202</f>
        <v>624</v>
      </c>
      <c r="C205" s="2" t="str">
        <f>[1]code!C202</f>
        <v>جبنة كرافت</v>
      </c>
      <c r="D205" s="2" t="str">
        <f>[1]code!D202</f>
        <v>مواد غذائية (المشربية)</v>
      </c>
      <c r="E205" s="1" t="str">
        <f>[1]code!E202</f>
        <v>كيلو</v>
      </c>
      <c r="F205" s="2" t="str">
        <f>[1]code!F202</f>
        <v>مشتريات مباشرة</v>
      </c>
      <c r="G205" s="12">
        <f>[1]code!G202</f>
        <v>31.61</v>
      </c>
      <c r="I205" s="10">
        <v>31.61</v>
      </c>
      <c r="J205" s="10">
        <v>31.61</v>
      </c>
      <c r="K205" s="10">
        <v>31.61</v>
      </c>
      <c r="L205" s="10">
        <v>31.61</v>
      </c>
      <c r="M205" s="10" t="str">
        <f>IFERROR(VLOOKUP($B205,[1]INV!$B$7:$H$2575,7,0),"")</f>
        <v/>
      </c>
      <c r="N205" s="10"/>
      <c r="O205" s="10"/>
      <c r="P205" s="10"/>
      <c r="Q205" s="10"/>
      <c r="R205" s="10"/>
      <c r="S205" s="10"/>
      <c r="T205" s="10"/>
      <c r="U205" s="1">
        <f t="shared" si="12"/>
        <v>31.61</v>
      </c>
      <c r="V205" s="1">
        <f t="shared" si="13"/>
        <v>31.61</v>
      </c>
      <c r="W205" s="1">
        <f t="shared" si="14"/>
        <v>31.61</v>
      </c>
      <c r="X205" s="1">
        <f t="shared" si="15"/>
        <v>31.61</v>
      </c>
    </row>
    <row r="206" spans="2:24" x14ac:dyDescent="0.25">
      <c r="B206" s="11">
        <f>[1]code!B203</f>
        <v>622</v>
      </c>
      <c r="C206" s="2" t="str">
        <f>[1]code!C203</f>
        <v>مرقة دجاج ماجى</v>
      </c>
      <c r="D206" s="2" t="str">
        <f>[1]code!D203</f>
        <v>مواد غذائية (المشربية)</v>
      </c>
      <c r="E206" s="1" t="str">
        <f>[1]code!E203</f>
        <v>كيلو</v>
      </c>
      <c r="F206" s="2" t="str">
        <f>[1]code!F203</f>
        <v>مشتريات مباشرة</v>
      </c>
      <c r="G206" s="12">
        <f>[1]code!G203</f>
        <v>27.7</v>
      </c>
      <c r="I206" s="10">
        <v>27.7</v>
      </c>
      <c r="J206" s="10">
        <v>27.7</v>
      </c>
      <c r="K206" s="10">
        <v>27.7</v>
      </c>
      <c r="L206" s="10">
        <v>27.7</v>
      </c>
      <c r="M206" s="10" t="str">
        <f>IFERROR(VLOOKUP($B206,[1]INV!$B$7:$H$2575,7,0),"")</f>
        <v/>
      </c>
      <c r="N206" s="10"/>
      <c r="O206" s="10"/>
      <c r="P206" s="10"/>
      <c r="Q206" s="10"/>
      <c r="R206" s="10"/>
      <c r="S206" s="10"/>
      <c r="T206" s="10"/>
      <c r="U206" s="1">
        <f t="shared" si="12"/>
        <v>27.7</v>
      </c>
      <c r="V206" s="1">
        <f t="shared" si="13"/>
        <v>27.7</v>
      </c>
      <c r="W206" s="1">
        <f t="shared" si="14"/>
        <v>27.7</v>
      </c>
      <c r="X206" s="1">
        <f t="shared" si="15"/>
        <v>27.7</v>
      </c>
    </row>
    <row r="207" spans="2:24" x14ac:dyDescent="0.25">
      <c r="B207" s="11">
        <f>[1]code!B204</f>
        <v>621</v>
      </c>
      <c r="C207" s="2" t="str">
        <f>[1]code!C204</f>
        <v>معجون طماطم</v>
      </c>
      <c r="D207" s="2" t="str">
        <f>[1]code!D204</f>
        <v>مواد غذائية (المشربية)</v>
      </c>
      <c r="E207" s="1" t="str">
        <f>[1]code!E204</f>
        <v>علبة</v>
      </c>
      <c r="F207" s="2" t="str">
        <f>[1]code!F204</f>
        <v>مشتريات مباشرة</v>
      </c>
      <c r="G207" s="12">
        <f>[1]code!G204</f>
        <v>12.15</v>
      </c>
      <c r="I207" s="10">
        <v>12.15</v>
      </c>
      <c r="J207" s="10">
        <v>12.15</v>
      </c>
      <c r="K207" s="10">
        <v>12.15</v>
      </c>
      <c r="L207" s="10">
        <v>12.15</v>
      </c>
      <c r="M207" s="10" t="str">
        <f>IFERROR(VLOOKUP($B207,[1]INV!$B$7:$H$2575,7,0),"")</f>
        <v/>
      </c>
      <c r="N207" s="10"/>
      <c r="O207" s="10"/>
      <c r="P207" s="10"/>
      <c r="Q207" s="10"/>
      <c r="R207" s="10"/>
      <c r="S207" s="10"/>
      <c r="T207" s="10"/>
      <c r="U207" s="1">
        <f t="shared" si="12"/>
        <v>12.15</v>
      </c>
      <c r="V207" s="1">
        <f t="shared" si="13"/>
        <v>12.15</v>
      </c>
      <c r="W207" s="1">
        <f t="shared" si="14"/>
        <v>12.15</v>
      </c>
      <c r="X207" s="1">
        <f t="shared" si="15"/>
        <v>12.15</v>
      </c>
    </row>
    <row r="208" spans="2:24" x14ac:dyDescent="0.25">
      <c r="B208" s="11">
        <f>[1]code!B205</f>
        <v>601</v>
      </c>
      <c r="C208" s="2" t="str">
        <f>[1]code!C205</f>
        <v>جوز هند مطحون</v>
      </c>
      <c r="D208" s="2" t="str">
        <f>[1]code!D205</f>
        <v>مواد غذائية (المشربية)</v>
      </c>
      <c r="E208" s="1" t="str">
        <f>[1]code!E205</f>
        <v>كيلو</v>
      </c>
      <c r="F208" s="2" t="str">
        <f>[1]code!F205</f>
        <v>مشتريات مباشرة</v>
      </c>
      <c r="G208" s="12">
        <f>[1]code!G205</f>
        <v>20.13</v>
      </c>
      <c r="I208" s="10">
        <v>20.13</v>
      </c>
      <c r="J208" s="10">
        <v>20.13</v>
      </c>
      <c r="K208" s="10">
        <v>20.13</v>
      </c>
      <c r="L208" s="10">
        <v>20.13</v>
      </c>
      <c r="M208" s="10" t="str">
        <f>IFERROR(VLOOKUP($B208,[1]INV!$B$7:$H$2575,7,0),"")</f>
        <v/>
      </c>
      <c r="N208" s="10"/>
      <c r="O208" s="10"/>
      <c r="P208" s="10"/>
      <c r="Q208" s="10"/>
      <c r="R208" s="10"/>
      <c r="S208" s="10"/>
      <c r="T208" s="10"/>
      <c r="U208" s="1">
        <f t="shared" si="12"/>
        <v>20.13</v>
      </c>
      <c r="V208" s="1">
        <f t="shared" si="13"/>
        <v>20.13</v>
      </c>
      <c r="W208" s="1">
        <f t="shared" si="14"/>
        <v>20.13</v>
      </c>
      <c r="X208" s="1">
        <f t="shared" si="15"/>
        <v>20.13</v>
      </c>
    </row>
    <row r="209" spans="2:24" x14ac:dyDescent="0.25">
      <c r="B209" s="11">
        <f>[1]code!B206</f>
        <v>680</v>
      </c>
      <c r="C209" s="2" t="str">
        <f>[1]code!C206</f>
        <v>فول حب</v>
      </c>
      <c r="D209" s="2" t="str">
        <f>[1]code!D206</f>
        <v>مواد غذائية (المشربية)</v>
      </c>
      <c r="E209" s="1" t="str">
        <f>[1]code!E206</f>
        <v>كيلو</v>
      </c>
      <c r="F209" s="2" t="str">
        <f>[1]code!F206</f>
        <v>مشتريات مباشرة</v>
      </c>
      <c r="G209" s="12">
        <f>[1]code!G206</f>
        <v>8.8219053578336535</v>
      </c>
      <c r="I209" s="10">
        <v>8.8219053578336535</v>
      </c>
      <c r="J209" s="10">
        <v>7.0368499999999994</v>
      </c>
      <c r="K209" s="10">
        <v>8.0050668674698784</v>
      </c>
      <c r="L209" s="10">
        <v>8.2493595890410951</v>
      </c>
      <c r="M209" s="10">
        <f>IFERROR(VLOOKUP($B209,[1]INV!$B$7:$H$2575,7,0),"")</f>
        <v>10.317438571428571</v>
      </c>
      <c r="N209" s="10"/>
      <c r="O209" s="10"/>
      <c r="P209" s="10"/>
      <c r="Q209" s="10"/>
      <c r="R209" s="10"/>
      <c r="S209" s="10"/>
      <c r="T209" s="10"/>
      <c r="U209" s="1">
        <f t="shared" si="12"/>
        <v>8.8219053578336535</v>
      </c>
      <c r="V209" s="1">
        <f t="shared" si="13"/>
        <v>7.0368499999999994</v>
      </c>
      <c r="W209" s="1">
        <f t="shared" si="14"/>
        <v>8.0050668674698784</v>
      </c>
      <c r="X209" s="1">
        <f t="shared" si="15"/>
        <v>8.2493595890410951</v>
      </c>
    </row>
    <row r="210" spans="2:24" x14ac:dyDescent="0.25">
      <c r="B210" s="11">
        <f>[1]code!B207</f>
        <v>735</v>
      </c>
      <c r="C210" s="2" t="str">
        <f>[1]code!C207</f>
        <v>قشطة</v>
      </c>
      <c r="D210" s="2" t="str">
        <f>[1]code!D207</f>
        <v>مواد غذائية (المشربية)</v>
      </c>
      <c r="E210" s="1" t="str">
        <f>[1]code!E207</f>
        <v>كيلو</v>
      </c>
      <c r="F210" s="2" t="str">
        <f>[1]code!F207</f>
        <v>مشتريات مباشرة</v>
      </c>
      <c r="G210" s="12">
        <f>[1]code!G207</f>
        <v>39.999299999999991</v>
      </c>
      <c r="I210" s="10">
        <v>39.999299999999991</v>
      </c>
      <c r="J210" s="10">
        <v>39.999299999999991</v>
      </c>
      <c r="K210" s="10">
        <v>39.999299999999991</v>
      </c>
      <c r="L210" s="10">
        <v>39.999299999999991</v>
      </c>
      <c r="M210" s="10" t="str">
        <f>IFERROR(VLOOKUP($B210,[1]INV!$B$7:$H$2575,7,0),"")</f>
        <v/>
      </c>
      <c r="N210" s="10"/>
      <c r="O210" s="10"/>
      <c r="P210" s="10"/>
      <c r="Q210" s="10"/>
      <c r="R210" s="10"/>
      <c r="S210" s="10"/>
      <c r="T210" s="10"/>
      <c r="U210" s="1">
        <f t="shared" si="12"/>
        <v>39.999299999999991</v>
      </c>
      <c r="V210" s="1">
        <f t="shared" si="13"/>
        <v>39.999299999999991</v>
      </c>
      <c r="W210" s="1">
        <f t="shared" si="14"/>
        <v>39.999299999999991</v>
      </c>
      <c r="X210" s="1">
        <f t="shared" si="15"/>
        <v>39.999299999999991</v>
      </c>
    </row>
    <row r="211" spans="2:24" x14ac:dyDescent="0.25">
      <c r="B211" s="11">
        <f>[1]code!B208</f>
        <v>760</v>
      </c>
      <c r="C211" s="2" t="str">
        <f>[1]code!C208</f>
        <v>جبنة رومي</v>
      </c>
      <c r="D211" s="2" t="str">
        <f>[1]code!D208</f>
        <v>مواد غذائية (المشربية)</v>
      </c>
      <c r="E211" s="1" t="str">
        <f>[1]code!E208</f>
        <v>كيلو</v>
      </c>
      <c r="F211" s="2" t="str">
        <f>[1]code!F208</f>
        <v>مشتريات مباشرة</v>
      </c>
      <c r="G211" s="12">
        <f>[1]code!G208</f>
        <v>49.95</v>
      </c>
      <c r="I211" s="10">
        <v>49.95</v>
      </c>
      <c r="J211" s="10">
        <v>49.95</v>
      </c>
      <c r="K211" s="10">
        <v>49.95</v>
      </c>
      <c r="L211" s="10">
        <v>49.95</v>
      </c>
      <c r="M211" s="10">
        <f>IFERROR(VLOOKUP($B211,[1]INV!$B$7:$H$2575,7,0),"")</f>
        <v>42.999649999999995</v>
      </c>
      <c r="N211" s="10"/>
      <c r="O211" s="10"/>
      <c r="P211" s="10"/>
      <c r="Q211" s="10"/>
      <c r="R211" s="10"/>
      <c r="S211" s="10"/>
      <c r="T211" s="10"/>
      <c r="U211" s="1">
        <f t="shared" si="12"/>
        <v>49.95</v>
      </c>
      <c r="V211" s="1">
        <f t="shared" si="13"/>
        <v>49.95</v>
      </c>
      <c r="W211" s="1">
        <f t="shared" si="14"/>
        <v>49.95</v>
      </c>
      <c r="X211" s="1">
        <f t="shared" si="15"/>
        <v>49.95</v>
      </c>
    </row>
    <row r="212" spans="2:24" x14ac:dyDescent="0.25">
      <c r="B212" s="11">
        <f>[1]code!B209</f>
        <v>775</v>
      </c>
      <c r="C212" s="2" t="str">
        <f>[1]code!C209</f>
        <v>بندق ابيض</v>
      </c>
      <c r="D212" s="2" t="str">
        <f>[1]code!D209</f>
        <v>مواد غذائية (المشربية)</v>
      </c>
      <c r="E212" s="1" t="str">
        <f>[1]code!E209</f>
        <v>كيلو</v>
      </c>
      <c r="F212" s="2" t="str">
        <f>[1]code!F209</f>
        <v>الجميل</v>
      </c>
      <c r="G212" s="12">
        <f>[1]code!G209</f>
        <v>86.25</v>
      </c>
      <c r="I212" s="10">
        <v>86.25</v>
      </c>
      <c r="J212" s="10">
        <v>95.958299999999994</v>
      </c>
      <c r="K212" s="10">
        <v>95.958299999999994</v>
      </c>
      <c r="L212" s="10">
        <v>95.958299999999994</v>
      </c>
      <c r="M212" s="10" t="str">
        <f>IFERROR(VLOOKUP($B212,[1]INV!$B$7:$H$2575,7,0),"")</f>
        <v/>
      </c>
      <c r="N212" s="10"/>
      <c r="O212" s="10"/>
      <c r="P212" s="10"/>
      <c r="Q212" s="10"/>
      <c r="R212" s="10"/>
      <c r="S212" s="10"/>
      <c r="T212" s="10"/>
      <c r="U212" s="1">
        <f t="shared" si="12"/>
        <v>86.25</v>
      </c>
      <c r="V212" s="1">
        <f t="shared" si="13"/>
        <v>95.958299999999994</v>
      </c>
      <c r="W212" s="1">
        <f t="shared" si="14"/>
        <v>95.958299999999994</v>
      </c>
      <c r="X212" s="1">
        <f t="shared" si="15"/>
        <v>95.958299999999994</v>
      </c>
    </row>
    <row r="213" spans="2:24" x14ac:dyDescent="0.25">
      <c r="B213" s="11">
        <f>[1]code!B210</f>
        <v>776</v>
      </c>
      <c r="C213" s="2" t="str">
        <f>[1]code!C210</f>
        <v>فسدق مبشور</v>
      </c>
      <c r="D213" s="2" t="str">
        <f>[1]code!D210</f>
        <v>مواد غذائية (المشربية)</v>
      </c>
      <c r="E213" s="1" t="str">
        <f>[1]code!E210</f>
        <v>كيلو</v>
      </c>
      <c r="F213" s="2" t="str">
        <f>[1]code!F210</f>
        <v>الجميل</v>
      </c>
      <c r="G213" s="12">
        <f>[1]code!G210</f>
        <v>69</v>
      </c>
      <c r="I213" s="10">
        <v>69</v>
      </c>
      <c r="J213" s="10">
        <v>69</v>
      </c>
      <c r="K213" s="10">
        <v>69</v>
      </c>
      <c r="L213" s="10">
        <v>69</v>
      </c>
      <c r="M213" s="10" t="str">
        <f>IFERROR(VLOOKUP($B213,[1]INV!$B$7:$H$2575,7,0),"")</f>
        <v/>
      </c>
      <c r="N213" s="10"/>
      <c r="O213" s="10"/>
      <c r="P213" s="10"/>
      <c r="Q213" s="10"/>
      <c r="R213" s="10"/>
      <c r="S213" s="10"/>
      <c r="T213" s="10"/>
      <c r="U213" s="1">
        <f t="shared" si="12"/>
        <v>69</v>
      </c>
      <c r="V213" s="1">
        <f t="shared" si="13"/>
        <v>69</v>
      </c>
      <c r="W213" s="1">
        <f t="shared" si="14"/>
        <v>69</v>
      </c>
      <c r="X213" s="1">
        <f t="shared" si="15"/>
        <v>69</v>
      </c>
    </row>
    <row r="214" spans="2:24" x14ac:dyDescent="0.25">
      <c r="B214" s="11">
        <f>[1]code!B211</f>
        <v>736</v>
      </c>
      <c r="C214" s="2" t="str">
        <f>[1]code!C211</f>
        <v>حلاة الجميل</v>
      </c>
      <c r="D214" s="2" t="str">
        <f>[1]code!D211</f>
        <v>مواد غذائية (المشربية)</v>
      </c>
      <c r="E214" s="1" t="str">
        <f>[1]code!E211</f>
        <v>كيلو</v>
      </c>
      <c r="F214" s="2" t="str">
        <f>[1]code!F211</f>
        <v>الجميل</v>
      </c>
      <c r="G214" s="12">
        <f>[1]code!G211</f>
        <v>12.94</v>
      </c>
      <c r="I214" s="10">
        <v>12.94</v>
      </c>
      <c r="J214" s="10">
        <v>12.364224999999999</v>
      </c>
      <c r="K214" s="10">
        <v>12.276250000000001</v>
      </c>
      <c r="L214" s="10">
        <v>12.276250000000001</v>
      </c>
      <c r="M214" s="10" t="str">
        <f>IFERROR(VLOOKUP($B214,[1]INV!$B$7:$H$2575,7,0),"")</f>
        <v/>
      </c>
      <c r="N214" s="10"/>
      <c r="O214" s="10"/>
      <c r="P214" s="10"/>
      <c r="Q214" s="10"/>
      <c r="R214" s="10"/>
      <c r="S214" s="10"/>
      <c r="T214" s="10"/>
      <c r="U214" s="1">
        <f t="shared" si="12"/>
        <v>12.94</v>
      </c>
      <c r="V214" s="1">
        <f t="shared" si="13"/>
        <v>12.364224999999999</v>
      </c>
      <c r="W214" s="1">
        <f t="shared" si="14"/>
        <v>12.276250000000001</v>
      </c>
      <c r="X214" s="1">
        <f t="shared" si="15"/>
        <v>12.276250000000001</v>
      </c>
    </row>
    <row r="215" spans="2:24" x14ac:dyDescent="0.25">
      <c r="B215" s="11">
        <f>[1]code!B212</f>
        <v>737</v>
      </c>
      <c r="C215" s="2" t="str">
        <f>[1]code!C212</f>
        <v>جبنة كيري</v>
      </c>
      <c r="D215" s="2" t="str">
        <f>[1]code!D212</f>
        <v>مواد غذائية (المشربية)</v>
      </c>
      <c r="E215" s="1" t="str">
        <f>[1]code!E212</f>
        <v>حبة</v>
      </c>
      <c r="F215" s="2" t="str">
        <f>[1]code!F212</f>
        <v>مشتريات مباشرة</v>
      </c>
      <c r="G215" s="12">
        <f>[1]code!G212</f>
        <v>0.82364656000000003</v>
      </c>
      <c r="I215" s="10">
        <v>0.82364656000000003</v>
      </c>
      <c r="J215" s="10">
        <v>1.012805</v>
      </c>
      <c r="K215" s="10">
        <v>1.0499499999999999</v>
      </c>
      <c r="L215" s="10">
        <v>0.83311750000000007</v>
      </c>
      <c r="M215" s="10">
        <f>IFERROR(VLOOKUP($B215,[1]INV!$B$7:$H$2575,7,0),"")</f>
        <v>0.99935000000000007</v>
      </c>
      <c r="N215" s="10"/>
      <c r="O215" s="10"/>
      <c r="P215" s="10"/>
      <c r="Q215" s="10"/>
      <c r="R215" s="10"/>
      <c r="S215" s="10"/>
      <c r="T215" s="10"/>
      <c r="U215" s="1">
        <f t="shared" si="12"/>
        <v>0.82364656000000003</v>
      </c>
      <c r="V215" s="1">
        <f t="shared" si="13"/>
        <v>1.012805</v>
      </c>
      <c r="W215" s="1">
        <f t="shared" si="14"/>
        <v>1.0499499999999999</v>
      </c>
      <c r="X215" s="1">
        <f t="shared" si="15"/>
        <v>0.83311750000000007</v>
      </c>
    </row>
    <row r="216" spans="2:24" x14ac:dyDescent="0.25">
      <c r="B216" s="11">
        <f>[1]code!B213</f>
        <v>738</v>
      </c>
      <c r="C216" s="2" t="str">
        <f>[1]code!C213</f>
        <v>مخلل مشكل المشربية</v>
      </c>
      <c r="D216" s="2" t="str">
        <f>[1]code!D213</f>
        <v>مواد غذائية (المشربية)</v>
      </c>
      <c r="E216" s="1" t="str">
        <f>[1]code!E213</f>
        <v>كيلو</v>
      </c>
      <c r="F216" s="2" t="str">
        <f>[1]code!F213</f>
        <v>مشتريات مباشرة</v>
      </c>
      <c r="G216" s="12">
        <f>[1]code!G213</f>
        <v>3.5</v>
      </c>
      <c r="I216" s="10">
        <v>3.5</v>
      </c>
      <c r="J216" s="10">
        <v>3.5</v>
      </c>
      <c r="K216" s="10">
        <v>3.5</v>
      </c>
      <c r="L216" s="10">
        <v>3.5</v>
      </c>
      <c r="M216" s="10" t="str">
        <f>IFERROR(VLOOKUP($B216,[1]INV!$B$7:$H$2575,7,0),"")</f>
        <v/>
      </c>
      <c r="N216" s="10"/>
      <c r="O216" s="10"/>
      <c r="P216" s="10"/>
      <c r="Q216" s="10"/>
      <c r="R216" s="10"/>
      <c r="S216" s="10"/>
      <c r="T216" s="10"/>
      <c r="U216" s="1">
        <f t="shared" si="12"/>
        <v>3.5</v>
      </c>
      <c r="V216" s="1">
        <f t="shared" si="13"/>
        <v>3.5</v>
      </c>
      <c r="W216" s="1">
        <f t="shared" si="14"/>
        <v>3.5</v>
      </c>
      <c r="X216" s="1">
        <f t="shared" si="15"/>
        <v>3.5</v>
      </c>
    </row>
    <row r="217" spans="2:24" x14ac:dyDescent="0.25">
      <c r="B217" s="11">
        <f>[1]code!B214</f>
        <v>753</v>
      </c>
      <c r="C217" s="2" t="str">
        <f>[1]code!C214</f>
        <v>صوص شطة حار</v>
      </c>
      <c r="D217" s="2" t="str">
        <f>[1]code!D214</f>
        <v>مواد غذائية (المشربية)</v>
      </c>
      <c r="E217" s="1" t="str">
        <f>[1]code!E214</f>
        <v>كيلو</v>
      </c>
      <c r="F217" s="2" t="str">
        <f>[1]code!F214</f>
        <v>مشتريات مباشرة</v>
      </c>
      <c r="G217" s="12">
        <f>[1]code!G214</f>
        <v>4.7770999999999999</v>
      </c>
      <c r="I217" s="10">
        <v>4.7770999999999999</v>
      </c>
      <c r="J217" s="10">
        <v>4.7770999999999999</v>
      </c>
      <c r="K217" s="10">
        <v>4.2998500000000002</v>
      </c>
      <c r="L217" s="10">
        <v>4.2998500000000002</v>
      </c>
      <c r="M217" s="10">
        <f>IFERROR(VLOOKUP($B217,[1]INV!$B$7:$H$2575,7,0),"")</f>
        <v>4.7770999999999999</v>
      </c>
      <c r="N217" s="10"/>
      <c r="O217" s="10"/>
      <c r="P217" s="10"/>
      <c r="Q217" s="10"/>
      <c r="R217" s="10"/>
      <c r="S217" s="10"/>
      <c r="T217" s="10"/>
      <c r="U217" s="1">
        <f t="shared" si="12"/>
        <v>4.7770999999999999</v>
      </c>
      <c r="V217" s="1">
        <f t="shared" si="13"/>
        <v>4.7770999999999999</v>
      </c>
      <c r="W217" s="1">
        <f t="shared" si="14"/>
        <v>4.2998500000000002</v>
      </c>
      <c r="X217" s="1">
        <f t="shared" si="15"/>
        <v>4.2998500000000002</v>
      </c>
    </row>
    <row r="218" spans="2:24" x14ac:dyDescent="0.25">
      <c r="B218" s="11">
        <f>[1]code!B215</f>
        <v>778</v>
      </c>
      <c r="C218" s="2" t="str">
        <f>[1]code!C215</f>
        <v>عدس احمر</v>
      </c>
      <c r="D218" s="2" t="str">
        <f>[1]code!D215</f>
        <v>مواد غذائية (المشربية)</v>
      </c>
      <c r="E218" s="1" t="str">
        <f>[1]code!E215</f>
        <v>كيلو</v>
      </c>
      <c r="F218" s="2" t="str">
        <f>[1]code!F215</f>
        <v>مشتريات مباشرة</v>
      </c>
      <c r="G218" s="12">
        <f>[1]code!G215</f>
        <v>4.5999999999999996</v>
      </c>
      <c r="I218" s="10">
        <v>4.5999999999999996</v>
      </c>
      <c r="J218" s="10">
        <v>4.5999999999999996</v>
      </c>
      <c r="K218" s="10">
        <v>4.5999999999999996</v>
      </c>
      <c r="L218" s="10">
        <v>4.5999999999999996</v>
      </c>
      <c r="M218" s="10" t="str">
        <f>IFERROR(VLOOKUP($B218,[1]INV!$B$7:$H$2575,7,0),"")</f>
        <v/>
      </c>
      <c r="N218" s="10"/>
      <c r="O218" s="10"/>
      <c r="P218" s="10"/>
      <c r="Q218" s="10"/>
      <c r="R218" s="10"/>
      <c r="S218" s="10"/>
      <c r="T218" s="10"/>
      <c r="U218" s="1">
        <f t="shared" si="12"/>
        <v>4.5999999999999996</v>
      </c>
      <c r="V218" s="1">
        <f t="shared" si="13"/>
        <v>4.5999999999999996</v>
      </c>
      <c r="W218" s="1">
        <f t="shared" si="14"/>
        <v>4.5999999999999996</v>
      </c>
      <c r="X218" s="1">
        <f t="shared" si="15"/>
        <v>4.5999999999999996</v>
      </c>
    </row>
    <row r="219" spans="2:24" x14ac:dyDescent="0.25">
      <c r="B219" s="11">
        <f>[1]code!B216</f>
        <v>618</v>
      </c>
      <c r="C219" s="2" t="str">
        <f>[1]code!C216</f>
        <v>بسطرمة</v>
      </c>
      <c r="D219" s="2" t="str">
        <f>[1]code!D216</f>
        <v>مواد غذائية (المشربية)</v>
      </c>
      <c r="E219" s="1" t="str">
        <f>[1]code!E216</f>
        <v>كيلو</v>
      </c>
      <c r="F219" s="2" t="str">
        <f>[1]code!F216</f>
        <v>الجوهرة</v>
      </c>
      <c r="G219" s="12">
        <f>[1]code!G216</f>
        <v>147.09873737623764</v>
      </c>
      <c r="I219" s="10">
        <v>147.09873737623764</v>
      </c>
      <c r="J219" s="10">
        <v>135.27880168841136</v>
      </c>
      <c r="K219" s="10">
        <v>115.97978620000001</v>
      </c>
      <c r="L219" s="10">
        <v>135.6011337904016</v>
      </c>
      <c r="M219" s="10">
        <f>IFERROR(VLOOKUP($B219,[1]INV!$B$7:$H$2575,7,0),"")</f>
        <v>156.67507569134702</v>
      </c>
      <c r="N219" s="10"/>
      <c r="O219" s="10"/>
      <c r="P219" s="10"/>
      <c r="Q219" s="10"/>
      <c r="R219" s="10"/>
      <c r="S219" s="10"/>
      <c r="T219" s="10"/>
      <c r="U219" s="1">
        <f t="shared" si="12"/>
        <v>147.09873737623764</v>
      </c>
      <c r="V219" s="1">
        <f t="shared" si="13"/>
        <v>135.27880168841136</v>
      </c>
      <c r="W219" s="1">
        <f t="shared" si="14"/>
        <v>115.97978620000001</v>
      </c>
      <c r="X219" s="1">
        <f t="shared" si="15"/>
        <v>135.6011337904016</v>
      </c>
    </row>
    <row r="220" spans="2:24" x14ac:dyDescent="0.25">
      <c r="B220" s="11">
        <f>[1]code!B217</f>
        <v>475</v>
      </c>
      <c r="C220" s="2" t="str">
        <f>[1]code!C217</f>
        <v>زيت قلي العربي 17 لتر</v>
      </c>
      <c r="D220" s="2" t="str">
        <f>[1]code!D217</f>
        <v>مواد غذائية (المشربية)</v>
      </c>
      <c r="E220" s="1" t="str">
        <f>[1]code!E217</f>
        <v>تنك</v>
      </c>
      <c r="F220" s="2" t="str">
        <f>[1]code!F217</f>
        <v>الفارس العالمي</v>
      </c>
      <c r="G220" s="12">
        <f>[1]code!G217</f>
        <v>110.49476</v>
      </c>
      <c r="I220" s="10">
        <v>110.49476</v>
      </c>
      <c r="J220" s="10">
        <v>109.1396</v>
      </c>
      <c r="K220" s="10">
        <v>112.66262499999999</v>
      </c>
      <c r="L220" s="10">
        <v>118.06666666666666</v>
      </c>
      <c r="M220" s="10">
        <f>IFERROR(VLOOKUP($B220,[1]INV!$B$7:$H$2575,7,0),"")</f>
        <v>121.01277499999999</v>
      </c>
      <c r="N220" s="10"/>
      <c r="O220" s="10"/>
      <c r="P220" s="10"/>
      <c r="Q220" s="10"/>
      <c r="R220" s="10"/>
      <c r="S220" s="10"/>
      <c r="T220" s="10"/>
      <c r="U220" s="1">
        <f t="shared" si="12"/>
        <v>110.49476</v>
      </c>
      <c r="V220" s="1">
        <f t="shared" si="13"/>
        <v>109.1396</v>
      </c>
      <c r="W220" s="1">
        <f t="shared" si="14"/>
        <v>112.66262499999999</v>
      </c>
      <c r="X220" s="1">
        <f t="shared" si="15"/>
        <v>118.06666666666666</v>
      </c>
    </row>
    <row r="221" spans="2:24" x14ac:dyDescent="0.25">
      <c r="B221" s="11">
        <f>[1]code!B218</f>
        <v>299</v>
      </c>
      <c r="C221" s="2" t="str">
        <f>[1]code!C218</f>
        <v>سكر بنى</v>
      </c>
      <c r="D221" s="2" t="str">
        <f>[1]code!D218</f>
        <v>مواد غذائية (المشربية)</v>
      </c>
      <c r="E221" s="1" t="str">
        <f>[1]code!E218</f>
        <v>كيلو</v>
      </c>
      <c r="F221" s="2" t="str">
        <f>[1]code!F218</f>
        <v>مشتريات مباشرة</v>
      </c>
      <c r="G221" s="12">
        <f>[1]code!G218</f>
        <v>16.7</v>
      </c>
      <c r="I221" s="10">
        <v>16.7</v>
      </c>
      <c r="J221" s="10">
        <v>16.7</v>
      </c>
      <c r="K221" s="10">
        <v>16.7</v>
      </c>
      <c r="L221" s="10">
        <v>16.7</v>
      </c>
      <c r="M221" s="10" t="str">
        <f>IFERROR(VLOOKUP($B221,[1]INV!$B$7:$H$2575,7,0),"")</f>
        <v/>
      </c>
      <c r="N221" s="10"/>
      <c r="O221" s="10"/>
      <c r="P221" s="10"/>
      <c r="Q221" s="10"/>
      <c r="R221" s="10"/>
      <c r="S221" s="10"/>
      <c r="T221" s="10"/>
      <c r="U221" s="1">
        <f t="shared" si="12"/>
        <v>16.7</v>
      </c>
      <c r="V221" s="1">
        <f t="shared" si="13"/>
        <v>16.7</v>
      </c>
      <c r="W221" s="1">
        <f t="shared" si="14"/>
        <v>16.7</v>
      </c>
      <c r="X221" s="1">
        <f t="shared" si="15"/>
        <v>16.7</v>
      </c>
    </row>
    <row r="222" spans="2:24" x14ac:dyDescent="0.25">
      <c r="B222" s="11">
        <f>[1]code!B219</f>
        <v>749</v>
      </c>
      <c r="C222" s="2" t="str">
        <f>[1]code!C219</f>
        <v>خلطة بهارات مشكله</v>
      </c>
      <c r="D222" s="2" t="str">
        <f>[1]code!D219</f>
        <v>مواد غذائية (المشربية)</v>
      </c>
      <c r="E222" s="1" t="str">
        <f>[1]code!E219</f>
        <v>كيلو</v>
      </c>
      <c r="F222" s="2" t="str">
        <f>[1]code!F219</f>
        <v>مشتريات مباشرة</v>
      </c>
      <c r="G222" s="12">
        <f>[1]code!G219</f>
        <v>38.119999999999997</v>
      </c>
      <c r="I222" s="10">
        <v>38.119999999999997</v>
      </c>
      <c r="J222" s="10">
        <v>38.119999999999997</v>
      </c>
      <c r="K222" s="10">
        <v>38.119999999999997</v>
      </c>
      <c r="L222" s="10">
        <v>38.119999999999997</v>
      </c>
      <c r="M222" s="10" t="str">
        <f>IFERROR(VLOOKUP($B222,[1]INV!$B$7:$H$2575,7,0),"")</f>
        <v/>
      </c>
      <c r="N222" s="10"/>
      <c r="O222" s="10"/>
      <c r="P222" s="10"/>
      <c r="Q222" s="10"/>
      <c r="R222" s="10"/>
      <c r="S222" s="10"/>
      <c r="T222" s="10"/>
      <c r="U222" s="1">
        <f t="shared" si="12"/>
        <v>38.119999999999997</v>
      </c>
      <c r="V222" s="1">
        <f t="shared" si="13"/>
        <v>38.119999999999997</v>
      </c>
      <c r="W222" s="1">
        <f t="shared" si="14"/>
        <v>38.119999999999997</v>
      </c>
      <c r="X222" s="1">
        <f t="shared" si="15"/>
        <v>38.119999999999997</v>
      </c>
    </row>
    <row r="223" spans="2:24" x14ac:dyDescent="0.25">
      <c r="B223" s="11">
        <f>[1]code!B220</f>
        <v>817</v>
      </c>
      <c r="C223" s="2" t="str">
        <f>[1]code!C220</f>
        <v>عصير برتقال الربيع</v>
      </c>
      <c r="D223" s="2" t="str">
        <f>[1]code!D220</f>
        <v>المشروبات (المشربية)</v>
      </c>
      <c r="E223" s="1" t="str">
        <f>[1]code!E220</f>
        <v>حبة</v>
      </c>
      <c r="F223" s="2" t="str">
        <f>[1]code!F220</f>
        <v>مشتريات مباشرة</v>
      </c>
      <c r="G223" s="12">
        <f>[1]code!G220</f>
        <v>1.63</v>
      </c>
      <c r="I223" s="10">
        <v>1.63</v>
      </c>
      <c r="J223" s="10">
        <v>1.63</v>
      </c>
      <c r="K223" s="10">
        <v>1.63</v>
      </c>
      <c r="L223" s="10">
        <v>1.63</v>
      </c>
      <c r="M223" s="10" t="str">
        <f>IFERROR(VLOOKUP($B223,[1]INV!$B$7:$H$2575,7,0),"")</f>
        <v/>
      </c>
      <c r="N223" s="10"/>
      <c r="O223" s="10"/>
      <c r="P223" s="10"/>
      <c r="Q223" s="10"/>
      <c r="R223" s="10"/>
      <c r="S223" s="10"/>
      <c r="T223" s="10"/>
      <c r="U223" s="1">
        <f t="shared" si="12"/>
        <v>1.63</v>
      </c>
      <c r="V223" s="1">
        <f t="shared" si="13"/>
        <v>1.63</v>
      </c>
      <c r="W223" s="1">
        <f t="shared" si="14"/>
        <v>1.63</v>
      </c>
      <c r="X223" s="1">
        <f t="shared" si="15"/>
        <v>1.63</v>
      </c>
    </row>
    <row r="224" spans="2:24" x14ac:dyDescent="0.25">
      <c r="B224" s="11">
        <f>[1]code!B221</f>
        <v>629</v>
      </c>
      <c r="C224" s="2" t="str">
        <f>[1]code!C221</f>
        <v>كود ريد كبير250مم</v>
      </c>
      <c r="D224" s="2" t="str">
        <f>[1]code!D221</f>
        <v>المشروبات (المشربية)</v>
      </c>
      <c r="E224" s="1" t="str">
        <f>[1]code!E221</f>
        <v>كرتون</v>
      </c>
      <c r="F224" s="2" t="str">
        <f>[1]code!F221</f>
        <v>مشتريات مباشرة</v>
      </c>
      <c r="G224" s="12">
        <f>[1]code!G221</f>
        <v>136.99949999999998</v>
      </c>
      <c r="I224" s="10">
        <v>136.99949999999998</v>
      </c>
      <c r="J224" s="10">
        <v>136.99949999999998</v>
      </c>
      <c r="K224" s="10">
        <v>136.99949999999998</v>
      </c>
      <c r="L224" s="10">
        <v>136.99949999999998</v>
      </c>
      <c r="M224" s="10">
        <f>IFERROR(VLOOKUP($B224,[1]INV!$B$7:$H$2575,7,0),"")</f>
        <v>136.99949999999998</v>
      </c>
      <c r="N224" s="10"/>
      <c r="O224" s="10"/>
      <c r="P224" s="10"/>
      <c r="Q224" s="10"/>
      <c r="R224" s="10"/>
      <c r="S224" s="10"/>
      <c r="T224" s="10"/>
      <c r="U224" s="1">
        <f t="shared" si="12"/>
        <v>136.99949999999998</v>
      </c>
      <c r="V224" s="1">
        <f t="shared" si="13"/>
        <v>136.99949999999998</v>
      </c>
      <c r="W224" s="1">
        <f t="shared" si="14"/>
        <v>136.99949999999998</v>
      </c>
      <c r="X224" s="1">
        <f t="shared" si="15"/>
        <v>136.99949999999998</v>
      </c>
    </row>
    <row r="225" spans="2:24" x14ac:dyDescent="0.25">
      <c r="B225" s="11">
        <f>[1]code!B222</f>
        <v>637</v>
      </c>
      <c r="C225" s="2" t="str">
        <f>[1]code!C222</f>
        <v>كود ريد صغير185 مم</v>
      </c>
      <c r="D225" s="2" t="str">
        <f>[1]code!D222</f>
        <v>المشروبات (المشربية)</v>
      </c>
      <c r="E225" s="1" t="str">
        <f>[1]code!E222</f>
        <v>كرتون</v>
      </c>
      <c r="F225" s="2" t="str">
        <f>[1]code!F222</f>
        <v>مشتريات مباشرة</v>
      </c>
      <c r="G225" s="12">
        <f>[1]code!G222</f>
        <v>91.17</v>
      </c>
      <c r="I225" s="10">
        <v>91.17</v>
      </c>
      <c r="J225" s="10">
        <v>91.17</v>
      </c>
      <c r="K225" s="10">
        <v>91.17</v>
      </c>
      <c r="L225" s="10">
        <v>91.17</v>
      </c>
      <c r="M225" s="10" t="str">
        <f>IFERROR(VLOOKUP($B225,[1]INV!$B$7:$H$2575,7,0),"")</f>
        <v/>
      </c>
      <c r="N225" s="10"/>
      <c r="O225" s="10"/>
      <c r="P225" s="10"/>
      <c r="Q225" s="10"/>
      <c r="R225" s="10"/>
      <c r="S225" s="10"/>
      <c r="T225" s="10"/>
      <c r="U225" s="1">
        <f t="shared" si="12"/>
        <v>91.17</v>
      </c>
      <c r="V225" s="1">
        <f t="shared" si="13"/>
        <v>91.17</v>
      </c>
      <c r="W225" s="1">
        <f t="shared" si="14"/>
        <v>91.17</v>
      </c>
      <c r="X225" s="1">
        <f t="shared" si="15"/>
        <v>91.17</v>
      </c>
    </row>
    <row r="226" spans="2:24" x14ac:dyDescent="0.25">
      <c r="B226" s="11">
        <f>[1]code!B223</f>
        <v>2</v>
      </c>
      <c r="C226" s="2" t="str">
        <f>[1]code!C223</f>
        <v>كوكاكولا  24*250مل</v>
      </c>
      <c r="D226" s="2" t="str">
        <f>[1]code!D223</f>
        <v>المشروبات (طحينة)</v>
      </c>
      <c r="E226" s="1" t="str">
        <f>[1]code!E223</f>
        <v>كرتون</v>
      </c>
      <c r="F226" s="2" t="str">
        <f>[1]code!F223</f>
        <v>كوكاكولا</v>
      </c>
      <c r="G226" s="12">
        <f>[1]code!G223</f>
        <v>49.493512896825401</v>
      </c>
      <c r="I226" s="10">
        <v>49.493512896825401</v>
      </c>
      <c r="J226" s="10">
        <v>41.055</v>
      </c>
      <c r="K226" s="10">
        <v>41.055</v>
      </c>
      <c r="L226" s="10">
        <v>42.799899817850637</v>
      </c>
      <c r="M226" s="10">
        <f>IFERROR(VLOOKUP($B226,[1]INV!$B$7:$H$2575,7,0),"")</f>
        <v>49.105000000000004</v>
      </c>
      <c r="N226" s="10"/>
      <c r="O226" s="10"/>
      <c r="P226" s="10"/>
      <c r="Q226" s="10"/>
      <c r="R226" s="10"/>
      <c r="S226" s="10"/>
      <c r="T226" s="10"/>
      <c r="U226" s="1">
        <f t="shared" si="12"/>
        <v>49.493512896825401</v>
      </c>
      <c r="V226" s="1">
        <f t="shared" si="13"/>
        <v>41.055</v>
      </c>
      <c r="W226" s="1">
        <f t="shared" si="14"/>
        <v>41.055</v>
      </c>
      <c r="X226" s="1">
        <f t="shared" si="15"/>
        <v>42.799899817850637</v>
      </c>
    </row>
    <row r="227" spans="2:24" x14ac:dyDescent="0.25">
      <c r="B227" s="11">
        <f>[1]code!B224</f>
        <v>3</v>
      </c>
      <c r="C227" s="2" t="str">
        <f>[1]code!C224</f>
        <v>كوكاكولا زيرو 24*250مل</v>
      </c>
      <c r="D227" s="2" t="str">
        <f>[1]code!D224</f>
        <v>المشروبات (طحينة)</v>
      </c>
      <c r="E227" s="1" t="str">
        <f>[1]code!E224</f>
        <v>كرتون</v>
      </c>
      <c r="F227" s="2" t="str">
        <f>[1]code!F224</f>
        <v>كوكاكولا</v>
      </c>
      <c r="G227" s="12">
        <f>[1]code!G224</f>
        <v>53.049500000000009</v>
      </c>
      <c r="I227" s="10">
        <v>53.049500000000009</v>
      </c>
      <c r="J227" s="10">
        <v>41.055000000000007</v>
      </c>
      <c r="K227" s="10">
        <v>41.055</v>
      </c>
      <c r="L227" s="10">
        <v>45.933787878787882</v>
      </c>
      <c r="M227" s="10">
        <f>IFERROR(VLOOKUP($B227,[1]INV!$B$7:$H$2575,7,0),"")</f>
        <v>49.105062727272731</v>
      </c>
      <c r="N227" s="10"/>
      <c r="O227" s="10"/>
      <c r="P227" s="10"/>
      <c r="Q227" s="10"/>
      <c r="R227" s="10"/>
      <c r="S227" s="10"/>
      <c r="T227" s="10"/>
      <c r="U227" s="1">
        <f t="shared" si="12"/>
        <v>53.049500000000009</v>
      </c>
      <c r="V227" s="1">
        <f t="shared" si="13"/>
        <v>41.055000000000007</v>
      </c>
      <c r="W227" s="1">
        <f t="shared" si="14"/>
        <v>41.055</v>
      </c>
      <c r="X227" s="1">
        <f t="shared" si="15"/>
        <v>45.933787878787882</v>
      </c>
    </row>
    <row r="228" spans="2:24" x14ac:dyDescent="0.25">
      <c r="B228" s="11">
        <f>[1]code!B225</f>
        <v>4</v>
      </c>
      <c r="C228" s="2" t="str">
        <f>[1]code!C225</f>
        <v>كوكاكولا لايت 24*250مل</v>
      </c>
      <c r="D228" s="2" t="str">
        <f>[1]code!D225</f>
        <v>المشروبات (طحينة)</v>
      </c>
      <c r="E228" s="1" t="str">
        <f>[1]code!E225</f>
        <v>كرتون</v>
      </c>
      <c r="F228" s="2" t="str">
        <f>[1]code!F225</f>
        <v>كوكاكولا</v>
      </c>
      <c r="G228" s="12">
        <f>[1]code!G225</f>
        <v>53.056930769230767</v>
      </c>
      <c r="I228" s="10">
        <v>53.056930769230767</v>
      </c>
      <c r="J228" s="10">
        <v>41.055000000000007</v>
      </c>
      <c r="K228" s="10">
        <v>41.055</v>
      </c>
      <c r="L228" s="10">
        <v>45.44590909090909</v>
      </c>
      <c r="M228" s="10">
        <f>IFERROR(VLOOKUP($B228,[1]INV!$B$7:$H$2575,7,0),"")</f>
        <v>49.104999999999997</v>
      </c>
      <c r="N228" s="10"/>
      <c r="O228" s="10"/>
      <c r="P228" s="10"/>
      <c r="Q228" s="10"/>
      <c r="R228" s="10"/>
      <c r="S228" s="10"/>
      <c r="T228" s="10"/>
      <c r="U228" s="1">
        <f t="shared" si="12"/>
        <v>53.056930769230767</v>
      </c>
      <c r="V228" s="1">
        <f t="shared" si="13"/>
        <v>41.055000000000007</v>
      </c>
      <c r="W228" s="1">
        <f t="shared" si="14"/>
        <v>41.055</v>
      </c>
      <c r="X228" s="1">
        <f t="shared" si="15"/>
        <v>45.44590909090909</v>
      </c>
    </row>
    <row r="229" spans="2:24" x14ac:dyDescent="0.25">
      <c r="B229" s="11">
        <f>[1]code!B226</f>
        <v>5</v>
      </c>
      <c r="C229" s="2" t="str">
        <f>[1]code!C226</f>
        <v>سبرايت 24*250مل</v>
      </c>
      <c r="D229" s="2" t="str">
        <f>[1]code!D226</f>
        <v>المشروبات (طحينة)</v>
      </c>
      <c r="E229" s="1" t="str">
        <f>[1]code!E226</f>
        <v>كرتون</v>
      </c>
      <c r="F229" s="2" t="str">
        <f>[1]code!F226</f>
        <v>كوكاكولا</v>
      </c>
      <c r="G229" s="12">
        <f>[1]code!G226</f>
        <v>49.273731092436982</v>
      </c>
      <c r="I229" s="10">
        <v>49.273731092436982</v>
      </c>
      <c r="J229" s="10">
        <v>41.055</v>
      </c>
      <c r="K229" s="10">
        <v>41.055000000000007</v>
      </c>
      <c r="L229" s="10">
        <v>45.080000000000005</v>
      </c>
      <c r="M229" s="10">
        <f>IFERROR(VLOOKUP($B229,[1]INV!$B$7:$H$2575,7,0),"")</f>
        <v>49.104999999999997</v>
      </c>
      <c r="N229" s="10"/>
      <c r="O229" s="10"/>
      <c r="P229" s="10"/>
      <c r="Q229" s="10"/>
      <c r="R229" s="10"/>
      <c r="S229" s="10"/>
      <c r="T229" s="10"/>
      <c r="U229" s="1">
        <f t="shared" si="12"/>
        <v>49.273731092436982</v>
      </c>
      <c r="V229" s="1">
        <f t="shared" si="13"/>
        <v>41.055</v>
      </c>
      <c r="W229" s="1">
        <f t="shared" si="14"/>
        <v>41.055000000000007</v>
      </c>
      <c r="X229" s="1">
        <f t="shared" si="15"/>
        <v>45.080000000000005</v>
      </c>
    </row>
    <row r="230" spans="2:24" x14ac:dyDescent="0.25">
      <c r="B230" s="11">
        <f>[1]code!B227</f>
        <v>6</v>
      </c>
      <c r="C230" s="2" t="str">
        <f>[1]code!C227</f>
        <v>مياه بيرين 40*330مل</v>
      </c>
      <c r="D230" s="2" t="str">
        <f>[1]code!D227</f>
        <v>المشروبات (طحينة)</v>
      </c>
      <c r="E230" s="1" t="str">
        <f>[1]code!E227</f>
        <v>كرتون</v>
      </c>
      <c r="F230" s="2" t="str">
        <f>[1]code!F227</f>
        <v>شركة برين</v>
      </c>
      <c r="G230" s="12">
        <f>[1]code!G227</f>
        <v>14.375</v>
      </c>
      <c r="I230" s="10">
        <v>14.375</v>
      </c>
      <c r="J230" s="10">
        <v>14.375</v>
      </c>
      <c r="K230" s="10">
        <v>14.375</v>
      </c>
      <c r="L230" s="10">
        <v>14.375</v>
      </c>
      <c r="M230" s="10">
        <f>IFERROR(VLOOKUP($B230,[1]INV!$B$7:$H$2575,7,0),"")</f>
        <v>14.375</v>
      </c>
      <c r="N230" s="10"/>
      <c r="O230" s="10"/>
      <c r="P230" s="10"/>
      <c r="Q230" s="10"/>
      <c r="R230" s="10"/>
      <c r="S230" s="10"/>
      <c r="T230" s="10"/>
      <c r="U230" s="1">
        <f t="shared" si="12"/>
        <v>14.375</v>
      </c>
      <c r="V230" s="1">
        <f t="shared" si="13"/>
        <v>14.375</v>
      </c>
      <c r="W230" s="1">
        <f t="shared" si="14"/>
        <v>14.375</v>
      </c>
      <c r="X230" s="1">
        <f t="shared" si="15"/>
        <v>14.375</v>
      </c>
    </row>
    <row r="231" spans="2:24" x14ac:dyDescent="0.25">
      <c r="B231" s="11">
        <f>[1]code!B228</f>
        <v>682</v>
      </c>
      <c r="C231" s="2" t="str">
        <f>[1]code!C228</f>
        <v>بيبسي</v>
      </c>
      <c r="D231" s="2" t="str">
        <f>[1]code!D228</f>
        <v>مشروبات ( باك ستريت)</v>
      </c>
      <c r="E231" s="1" t="str">
        <f>[1]code!E228</f>
        <v>كرتون</v>
      </c>
      <c r="F231" s="2" t="str">
        <f>[1]code!F228</f>
        <v>عبدالهادي القحطاني</v>
      </c>
      <c r="G231" s="12">
        <f>[1]code!G228</f>
        <v>0</v>
      </c>
      <c r="I231" s="10">
        <v>0</v>
      </c>
      <c r="J231" s="10">
        <v>0</v>
      </c>
      <c r="K231" s="10">
        <v>0</v>
      </c>
      <c r="L231" s="10">
        <v>0</v>
      </c>
      <c r="M231" s="10" t="str">
        <f>IFERROR(VLOOKUP($B231,[1]INV!$B$7:$H$2575,7,0),"")</f>
        <v/>
      </c>
      <c r="N231" s="10"/>
      <c r="O231" s="10"/>
      <c r="P231" s="10"/>
      <c r="Q231" s="10"/>
      <c r="R231" s="10"/>
      <c r="S231" s="10"/>
      <c r="T231" s="10"/>
      <c r="U231" s="1">
        <f t="shared" si="12"/>
        <v>0</v>
      </c>
      <c r="V231" s="1">
        <f t="shared" si="13"/>
        <v>0</v>
      </c>
      <c r="W231" s="1">
        <f t="shared" si="14"/>
        <v>0</v>
      </c>
      <c r="X231" s="1">
        <f t="shared" si="15"/>
        <v>0</v>
      </c>
    </row>
    <row r="232" spans="2:24" x14ac:dyDescent="0.25">
      <c r="B232" s="11">
        <f>[1]code!B229</f>
        <v>630</v>
      </c>
      <c r="C232" s="2" t="str">
        <f>[1]code!C229</f>
        <v>سفن أب 24*250مل</v>
      </c>
      <c r="D232" s="2" t="str">
        <f>[1]code!D229</f>
        <v>مشروبات ( باك ستريت)</v>
      </c>
      <c r="E232" s="1" t="str">
        <f>[1]code!E229</f>
        <v>كرتون</v>
      </c>
      <c r="F232" s="2" t="str">
        <f>[1]code!F229</f>
        <v>عبدالهادي القحطاني</v>
      </c>
      <c r="G232" s="12">
        <f>[1]code!G229</f>
        <v>44.48</v>
      </c>
      <c r="I232" s="10">
        <v>44.48</v>
      </c>
      <c r="J232" s="10">
        <v>44.48</v>
      </c>
      <c r="K232" s="10">
        <v>44.48</v>
      </c>
      <c r="L232" s="10">
        <v>44.48</v>
      </c>
      <c r="M232" s="10" t="str">
        <f>IFERROR(VLOOKUP($B232,[1]INV!$B$7:$H$2575,7,0),"")</f>
        <v/>
      </c>
      <c r="N232" s="10"/>
      <c r="O232" s="10"/>
      <c r="P232" s="10"/>
      <c r="Q232" s="10"/>
      <c r="R232" s="10"/>
      <c r="S232" s="10"/>
      <c r="T232" s="10"/>
      <c r="U232" s="1">
        <f t="shared" si="12"/>
        <v>44.48</v>
      </c>
      <c r="V232" s="1">
        <f t="shared" si="13"/>
        <v>44.48</v>
      </c>
      <c r="W232" s="1">
        <f t="shared" si="14"/>
        <v>44.48</v>
      </c>
      <c r="X232" s="1">
        <f t="shared" si="15"/>
        <v>44.48</v>
      </c>
    </row>
    <row r="233" spans="2:24" x14ac:dyDescent="0.25">
      <c r="B233" s="11">
        <f>[1]code!B230</f>
        <v>698</v>
      </c>
      <c r="C233" s="2" t="str">
        <f>[1]code!C230</f>
        <v>ميرندا</v>
      </c>
      <c r="D233" s="2" t="str">
        <f>[1]code!D230</f>
        <v>مشروبات ( باك ستريت)</v>
      </c>
      <c r="E233" s="1" t="str">
        <f>[1]code!E230</f>
        <v>كرتون</v>
      </c>
      <c r="F233" s="2" t="str">
        <f>[1]code!F230</f>
        <v>عبدالهادي القحطاني</v>
      </c>
      <c r="G233" s="12">
        <f>[1]code!G230</f>
        <v>0</v>
      </c>
      <c r="I233" s="10">
        <v>0</v>
      </c>
      <c r="J233" s="10">
        <v>0</v>
      </c>
      <c r="K233" s="10">
        <v>0</v>
      </c>
      <c r="L233" s="10">
        <v>0</v>
      </c>
      <c r="M233" s="10" t="str">
        <f>IFERROR(VLOOKUP($B233,[1]INV!$B$7:$H$2575,7,0),"")</f>
        <v/>
      </c>
      <c r="N233" s="10"/>
      <c r="O233" s="10"/>
      <c r="P233" s="10"/>
      <c r="Q233" s="10"/>
      <c r="R233" s="10"/>
      <c r="S233" s="10"/>
      <c r="T233" s="10"/>
      <c r="U233" s="1">
        <f t="shared" si="12"/>
        <v>0</v>
      </c>
      <c r="V233" s="1">
        <f t="shared" si="13"/>
        <v>0</v>
      </c>
      <c r="W233" s="1">
        <f t="shared" si="14"/>
        <v>0</v>
      </c>
      <c r="X233" s="1">
        <f t="shared" si="15"/>
        <v>0</v>
      </c>
    </row>
    <row r="234" spans="2:24" x14ac:dyDescent="0.25">
      <c r="B234" s="11">
        <f>[1]code!B231</f>
        <v>796</v>
      </c>
      <c r="C234" s="2" t="str">
        <f>[1]code!C231</f>
        <v>بيبسي دايت</v>
      </c>
      <c r="D234" s="2" t="str">
        <f>[1]code!D231</f>
        <v>مشروبات ( باك ستريت)</v>
      </c>
      <c r="E234" s="1" t="str">
        <f>[1]code!E231</f>
        <v>كرتون</v>
      </c>
      <c r="F234" s="2" t="str">
        <f>[1]code!F231</f>
        <v>عبدالهادي القحطاني</v>
      </c>
      <c r="G234" s="12">
        <f>[1]code!G231</f>
        <v>0</v>
      </c>
      <c r="I234" s="10">
        <v>0</v>
      </c>
      <c r="J234" s="10">
        <v>0</v>
      </c>
      <c r="K234" s="10">
        <v>0</v>
      </c>
      <c r="L234" s="10">
        <v>0</v>
      </c>
      <c r="M234" s="10" t="str">
        <f>IFERROR(VLOOKUP($B234,[1]INV!$B$7:$H$2575,7,0),"")</f>
        <v/>
      </c>
      <c r="N234" s="10"/>
      <c r="O234" s="10"/>
      <c r="P234" s="10"/>
      <c r="Q234" s="10"/>
      <c r="R234" s="10"/>
      <c r="S234" s="10"/>
      <c r="T234" s="10"/>
      <c r="U234" s="1">
        <f t="shared" si="12"/>
        <v>0</v>
      </c>
      <c r="V234" s="1">
        <f t="shared" si="13"/>
        <v>0</v>
      </c>
      <c r="W234" s="1">
        <f t="shared" si="14"/>
        <v>0</v>
      </c>
      <c r="X234" s="1">
        <f t="shared" si="15"/>
        <v>0</v>
      </c>
    </row>
    <row r="235" spans="2:24" x14ac:dyDescent="0.25">
      <c r="B235" s="11">
        <f>[1]code!B232</f>
        <v>797</v>
      </c>
      <c r="C235" s="2" t="str">
        <f>[1]code!C232</f>
        <v>ديو</v>
      </c>
      <c r="D235" s="2" t="str">
        <f>[1]code!D232</f>
        <v>مشروبات ( باك ستريت)</v>
      </c>
      <c r="E235" s="1" t="str">
        <f>[1]code!E232</f>
        <v>كرتون</v>
      </c>
      <c r="F235" s="2" t="str">
        <f>[1]code!F232</f>
        <v>عبدالهادي القحطاني</v>
      </c>
      <c r="G235" s="12">
        <f>[1]code!G232</f>
        <v>0</v>
      </c>
      <c r="I235" s="10">
        <v>0</v>
      </c>
      <c r="J235" s="10">
        <v>0</v>
      </c>
      <c r="K235" s="10">
        <v>0</v>
      </c>
      <c r="L235" s="10">
        <v>0</v>
      </c>
      <c r="M235" s="10" t="str">
        <f>IFERROR(VLOOKUP($B235,[1]INV!$B$7:$H$2575,7,0),"")</f>
        <v/>
      </c>
      <c r="N235" s="10"/>
      <c r="O235" s="10"/>
      <c r="P235" s="10"/>
      <c r="Q235" s="10"/>
      <c r="R235" s="10"/>
      <c r="S235" s="10"/>
      <c r="T235" s="10"/>
      <c r="U235" s="1">
        <f t="shared" si="12"/>
        <v>0</v>
      </c>
      <c r="V235" s="1">
        <f t="shared" si="13"/>
        <v>0</v>
      </c>
      <c r="W235" s="1">
        <f t="shared" si="14"/>
        <v>0</v>
      </c>
      <c r="X235" s="1">
        <f t="shared" si="15"/>
        <v>0</v>
      </c>
    </row>
    <row r="236" spans="2:24" x14ac:dyDescent="0.25">
      <c r="B236" s="11">
        <f>[1]code!B233</f>
        <v>690</v>
      </c>
      <c r="C236" s="2" t="str">
        <f>[1]code!C233</f>
        <v>سيزار اناناس</v>
      </c>
      <c r="D236" s="2" t="str">
        <f>[1]code!D233</f>
        <v>مشروبات ( باك ستريت)</v>
      </c>
      <c r="E236" s="1" t="str">
        <f>[1]code!E233</f>
        <v>كرتون</v>
      </c>
      <c r="F236" s="2" t="str">
        <f>[1]code!F233</f>
        <v>مشتريات مباشرة</v>
      </c>
      <c r="G236" s="12">
        <f>[1]code!G233</f>
        <v>0</v>
      </c>
      <c r="I236" s="10">
        <v>0</v>
      </c>
      <c r="J236" s="10">
        <v>0</v>
      </c>
      <c r="K236" s="10">
        <v>0</v>
      </c>
      <c r="L236" s="10">
        <v>0</v>
      </c>
      <c r="M236" s="10" t="str">
        <f>IFERROR(VLOOKUP($B236,[1]INV!$B$7:$H$2575,7,0),"")</f>
        <v/>
      </c>
      <c r="N236" s="10"/>
      <c r="O236" s="10"/>
      <c r="P236" s="10"/>
      <c r="Q236" s="10"/>
      <c r="R236" s="10"/>
      <c r="S236" s="10"/>
      <c r="T236" s="10"/>
      <c r="U236" s="1">
        <f t="shared" si="12"/>
        <v>0</v>
      </c>
      <c r="V236" s="1">
        <f t="shared" si="13"/>
        <v>0</v>
      </c>
      <c r="W236" s="1">
        <f t="shared" si="14"/>
        <v>0</v>
      </c>
      <c r="X236" s="1">
        <f t="shared" si="15"/>
        <v>0</v>
      </c>
    </row>
    <row r="237" spans="2:24" x14ac:dyDescent="0.25">
      <c r="B237" s="11">
        <f>[1]code!B234</f>
        <v>815</v>
      </c>
      <c r="C237" s="2" t="str">
        <f>[1]code!C234</f>
        <v>سيزار برتقال جزر</v>
      </c>
      <c r="D237" s="2" t="str">
        <f>[1]code!D234</f>
        <v>مشروبات ( باك ستريت)</v>
      </c>
      <c r="E237" s="1" t="str">
        <f>[1]code!E234</f>
        <v>كرتون</v>
      </c>
      <c r="F237" s="2" t="str">
        <f>[1]code!F234</f>
        <v>مشتريات مباشرة</v>
      </c>
      <c r="G237" s="12">
        <f>[1]code!G234</f>
        <v>0</v>
      </c>
      <c r="I237" s="10">
        <v>0</v>
      </c>
      <c r="J237" s="10">
        <v>0</v>
      </c>
      <c r="K237" s="10">
        <v>0</v>
      </c>
      <c r="L237" s="10">
        <v>0</v>
      </c>
      <c r="M237" s="10" t="str">
        <f>IFERROR(VLOOKUP($B237,[1]INV!$B$7:$H$2575,7,0),"")</f>
        <v/>
      </c>
      <c r="N237" s="10"/>
      <c r="O237" s="10"/>
      <c r="P237" s="10"/>
      <c r="Q237" s="10"/>
      <c r="R237" s="10"/>
      <c r="S237" s="10"/>
      <c r="T237" s="10"/>
      <c r="U237" s="1">
        <f t="shared" si="12"/>
        <v>0</v>
      </c>
      <c r="V237" s="1">
        <f t="shared" si="13"/>
        <v>0</v>
      </c>
      <c r="W237" s="1">
        <f t="shared" si="14"/>
        <v>0</v>
      </c>
      <c r="X237" s="1">
        <f t="shared" si="15"/>
        <v>0</v>
      </c>
    </row>
    <row r="238" spans="2:24" x14ac:dyDescent="0.25">
      <c r="B238" s="11">
        <f>[1]code!B235</f>
        <v>816</v>
      </c>
      <c r="C238" s="2" t="str">
        <f>[1]code!C235</f>
        <v>سيزار مشكل</v>
      </c>
      <c r="D238" s="2" t="str">
        <f>[1]code!D235</f>
        <v>مشروبات ( باك ستريت)</v>
      </c>
      <c r="E238" s="1" t="str">
        <f>[1]code!E235</f>
        <v>كرتون</v>
      </c>
      <c r="F238" s="2" t="str">
        <f>[1]code!F235</f>
        <v>مشتريات مباشرة</v>
      </c>
      <c r="G238" s="12">
        <f>[1]code!G235</f>
        <v>0</v>
      </c>
      <c r="I238" s="10">
        <v>0</v>
      </c>
      <c r="J238" s="10">
        <v>0</v>
      </c>
      <c r="K238" s="10">
        <v>0</v>
      </c>
      <c r="L238" s="10">
        <v>0</v>
      </c>
      <c r="M238" s="10" t="str">
        <f>IFERROR(VLOOKUP($B238,[1]INV!$B$7:$H$2575,7,0),"")</f>
        <v/>
      </c>
      <c r="N238" s="10"/>
      <c r="O238" s="10"/>
      <c r="P238" s="10"/>
      <c r="Q238" s="10"/>
      <c r="R238" s="10"/>
      <c r="S238" s="10"/>
      <c r="T238" s="10"/>
      <c r="U238" s="1">
        <f t="shared" si="12"/>
        <v>0</v>
      </c>
      <c r="V238" s="1">
        <f t="shared" si="13"/>
        <v>0</v>
      </c>
      <c r="W238" s="1">
        <f t="shared" si="14"/>
        <v>0</v>
      </c>
      <c r="X238" s="1">
        <f t="shared" si="15"/>
        <v>0</v>
      </c>
    </row>
    <row r="239" spans="2:24" x14ac:dyDescent="0.25">
      <c r="B239" s="11">
        <f>[1]code!B236</f>
        <v>851</v>
      </c>
      <c r="C239" s="2" t="str">
        <f>[1]code!C236</f>
        <v>معسل بطيخ نعناع 500 جرام</v>
      </c>
      <c r="D239" s="2" t="str">
        <f>[1]code!D236</f>
        <v>الشيشة</v>
      </c>
      <c r="E239" s="1" t="str">
        <f>[1]code!E236</f>
        <v>باكت</v>
      </c>
      <c r="F239" s="2" t="str">
        <f>[1]code!F236</f>
        <v>معسلات المشربية</v>
      </c>
      <c r="G239" s="12">
        <f>[1]code!G236</f>
        <v>134</v>
      </c>
      <c r="I239" s="10">
        <v>134.99965</v>
      </c>
      <c r="J239" s="10">
        <v>134.99965</v>
      </c>
      <c r="K239" s="10">
        <v>134.99965</v>
      </c>
      <c r="L239" s="10">
        <v>134.99965</v>
      </c>
      <c r="M239" s="10">
        <f>IFERROR(VLOOKUP($B239,[1]INV!$B$7:$H$2575,7,0),"")</f>
        <v>134.99965</v>
      </c>
      <c r="N239" s="10"/>
      <c r="O239" s="10"/>
      <c r="P239" s="10"/>
      <c r="Q239" s="10"/>
      <c r="R239" s="10"/>
      <c r="S239" s="10"/>
      <c r="T239" s="10"/>
      <c r="U239" s="1">
        <f t="shared" si="12"/>
        <v>134.99965</v>
      </c>
      <c r="V239" s="1">
        <f t="shared" si="13"/>
        <v>134.99965</v>
      </c>
      <c r="W239" s="1">
        <f t="shared" si="14"/>
        <v>134.99965</v>
      </c>
      <c r="X239" s="1">
        <f t="shared" si="15"/>
        <v>134.99965</v>
      </c>
    </row>
    <row r="240" spans="2:24" x14ac:dyDescent="0.25">
      <c r="B240" s="11">
        <f>[1]code!B237</f>
        <v>359</v>
      </c>
      <c r="C240" s="2" t="str">
        <f>[1]code!C237</f>
        <v>لي شيشة بلاستيك - المشربية</v>
      </c>
      <c r="D240" s="2" t="str">
        <f>[1]code!D237</f>
        <v>الشيشة</v>
      </c>
      <c r="E240" s="1" t="str">
        <f>[1]code!E237</f>
        <v>حبة</v>
      </c>
      <c r="F240" s="2" t="str">
        <f>[1]code!F237</f>
        <v>معسلات المشربية</v>
      </c>
      <c r="G240" s="12">
        <f>[1]code!G237</f>
        <v>0.60000100000000001</v>
      </c>
      <c r="I240" s="10">
        <v>0.60000100000000001</v>
      </c>
      <c r="J240" s="10">
        <v>0.60013899999999998</v>
      </c>
      <c r="K240" s="10">
        <v>0.60013899999999998</v>
      </c>
      <c r="L240" s="10">
        <v>0.64285000000000003</v>
      </c>
      <c r="M240" s="10">
        <f>IFERROR(VLOOKUP($B240,[1]INV!$B$7:$H$2575,7,0),"")</f>
        <v>0.64193958333333334</v>
      </c>
      <c r="N240" s="10"/>
      <c r="O240" s="10"/>
      <c r="P240" s="10"/>
      <c r="Q240" s="10"/>
      <c r="R240" s="10"/>
      <c r="S240" s="10"/>
      <c r="T240" s="10"/>
      <c r="U240" s="1">
        <f t="shared" si="12"/>
        <v>0.60000100000000001</v>
      </c>
      <c r="V240" s="1">
        <f t="shared" si="13"/>
        <v>0.60013899999999998</v>
      </c>
      <c r="W240" s="1">
        <f t="shared" si="14"/>
        <v>0.60013899999999998</v>
      </c>
      <c r="X240" s="1">
        <f t="shared" si="15"/>
        <v>0.64285000000000003</v>
      </c>
    </row>
    <row r="241" spans="2:24" x14ac:dyDescent="0.25">
      <c r="B241" s="11">
        <f>[1]code!B238</f>
        <v>384</v>
      </c>
      <c r="C241" s="2" t="str">
        <f>[1]code!C238</f>
        <v>فحم شيشة - المشربية</v>
      </c>
      <c r="D241" s="2" t="str">
        <f>[1]code!D238</f>
        <v>الشيشة</v>
      </c>
      <c r="E241" s="1" t="str">
        <f>[1]code!E238</f>
        <v>باكت</v>
      </c>
      <c r="F241" s="2" t="str">
        <f>[1]code!F238</f>
        <v>معسلات المشربية</v>
      </c>
      <c r="G241" s="12">
        <f>[1]code!G238</f>
        <v>12.000159210526316</v>
      </c>
      <c r="I241" s="10">
        <v>12.000159210526316</v>
      </c>
      <c r="J241" s="10">
        <v>12.000153602941177</v>
      </c>
      <c r="K241" s="10">
        <v>12.000298702499997</v>
      </c>
      <c r="L241" s="10">
        <v>13.24388636585366</v>
      </c>
      <c r="M241" s="10">
        <f>IFERROR(VLOOKUP($B241,[1]INV!$B$7:$H$2575,7,0),"")</f>
        <v>13.931492045454547</v>
      </c>
      <c r="N241" s="10"/>
      <c r="O241" s="10"/>
      <c r="P241" s="10"/>
      <c r="Q241" s="10"/>
      <c r="R241" s="10"/>
      <c r="S241" s="10"/>
      <c r="T241" s="10"/>
      <c r="U241" s="1">
        <f t="shared" si="12"/>
        <v>12.000159210526316</v>
      </c>
      <c r="V241" s="1">
        <f t="shared" si="13"/>
        <v>12.000153602941177</v>
      </c>
      <c r="W241" s="1">
        <f t="shared" si="14"/>
        <v>12.000298702499997</v>
      </c>
      <c r="X241" s="1">
        <f t="shared" si="15"/>
        <v>13.24388636585366</v>
      </c>
    </row>
    <row r="242" spans="2:24" x14ac:dyDescent="0.25">
      <c r="B242" s="11">
        <f>[1]code!B239</f>
        <v>385</v>
      </c>
      <c r="C242" s="2" t="str">
        <f>[1]code!C239</f>
        <v>قصدير شيشة - المشربية</v>
      </c>
      <c r="D242" s="2" t="str">
        <f>[1]code!D239</f>
        <v>الشيشة</v>
      </c>
      <c r="E242" s="1" t="str">
        <f>[1]code!E239</f>
        <v>رول</v>
      </c>
      <c r="F242" s="2" t="str">
        <f>[1]code!F239</f>
        <v>معسلات المشربية</v>
      </c>
      <c r="G242" s="12">
        <f>[1]code!G239</f>
        <v>4.9952550000000002</v>
      </c>
      <c r="I242" s="10">
        <v>4.9952550000000002</v>
      </c>
      <c r="J242" s="10">
        <v>4.9937231999999998</v>
      </c>
      <c r="K242" s="10">
        <v>4.9980365624999994</v>
      </c>
      <c r="L242" s="10">
        <v>5.0590191176470585</v>
      </c>
      <c r="M242" s="10">
        <f>IFERROR(VLOOKUP($B242,[1]INV!$B$7:$H$2575,7,0),"")</f>
        <v>5.1876499999999997</v>
      </c>
      <c r="N242" s="10"/>
      <c r="O242" s="10"/>
      <c r="P242" s="10"/>
      <c r="Q242" s="10"/>
      <c r="R242" s="10"/>
      <c r="S242" s="10"/>
      <c r="T242" s="10"/>
      <c r="U242" s="1">
        <f t="shared" si="12"/>
        <v>4.9952550000000002</v>
      </c>
      <c r="V242" s="1">
        <f t="shared" si="13"/>
        <v>4.9937231999999998</v>
      </c>
      <c r="W242" s="1">
        <f t="shared" si="14"/>
        <v>4.9980365624999994</v>
      </c>
      <c r="X242" s="1">
        <f t="shared" si="15"/>
        <v>5.0590191176470585</v>
      </c>
    </row>
    <row r="243" spans="2:24" x14ac:dyDescent="0.25">
      <c r="B243" s="11">
        <f>[1]code!B240</f>
        <v>397</v>
      </c>
      <c r="C243" s="2" t="str">
        <f>[1]code!C240</f>
        <v>معسل تفاحتين الفاخر 500 جرام - المشربية</v>
      </c>
      <c r="D243" s="2" t="str">
        <f>[1]code!D240</f>
        <v>الشيشة</v>
      </c>
      <c r="E243" s="1" t="str">
        <f>[1]code!E240</f>
        <v>باكت</v>
      </c>
      <c r="F243" s="2" t="str">
        <f>[1]code!F240</f>
        <v>معسلات المشربية</v>
      </c>
      <c r="G243" s="12">
        <f>[1]code!G240</f>
        <v>139.99985000000001</v>
      </c>
      <c r="I243" s="10">
        <v>139.99985000000001</v>
      </c>
      <c r="J243" s="10">
        <v>139.99984999999998</v>
      </c>
      <c r="K243" s="10">
        <v>139.99985000000001</v>
      </c>
      <c r="L243" s="10">
        <v>140.22710568181819</v>
      </c>
      <c r="M243" s="10">
        <f>IFERROR(VLOOKUP($B243,[1]INV!$B$7:$H$2575,7,0),"")</f>
        <v>139.99985000000001</v>
      </c>
      <c r="N243" s="10"/>
      <c r="O243" s="10"/>
      <c r="P243" s="10"/>
      <c r="Q243" s="10"/>
      <c r="R243" s="10"/>
      <c r="S243" s="10"/>
      <c r="T243" s="10"/>
      <c r="U243" s="1">
        <f t="shared" si="12"/>
        <v>139.99985000000001</v>
      </c>
      <c r="V243" s="1">
        <f t="shared" si="13"/>
        <v>139.99984999999998</v>
      </c>
      <c r="W243" s="1">
        <f t="shared" si="14"/>
        <v>139.99985000000001</v>
      </c>
      <c r="X243" s="1">
        <f t="shared" si="15"/>
        <v>140.22710568181819</v>
      </c>
    </row>
    <row r="244" spans="2:24" x14ac:dyDescent="0.25">
      <c r="B244" s="11">
        <f>[1]code!B241</f>
        <v>402</v>
      </c>
      <c r="C244" s="2" t="str">
        <f>[1]code!C241</f>
        <v>لي شيشة زجاج شفاف - المشربية</v>
      </c>
      <c r="D244" s="2" t="str">
        <f>[1]code!D241</f>
        <v>الشيشة</v>
      </c>
      <c r="E244" s="1" t="str">
        <f>[1]code!E241</f>
        <v>حبة</v>
      </c>
      <c r="F244" s="2" t="str">
        <f>[1]code!F241</f>
        <v>معسلات المشربية</v>
      </c>
      <c r="G244" s="12">
        <f>[1]code!G241</f>
        <v>1.3998489999999999</v>
      </c>
      <c r="I244" s="10">
        <v>1.3998489999999999</v>
      </c>
      <c r="J244" s="10">
        <v>1.5596300000000001</v>
      </c>
      <c r="K244" s="10">
        <v>1.59965</v>
      </c>
      <c r="L244" s="10">
        <v>1.5999949999999998</v>
      </c>
      <c r="M244" s="10">
        <f>IFERROR(VLOOKUP($B244,[1]INV!$B$7:$H$2575,7,0),"")</f>
        <v>1.4999886999999998</v>
      </c>
      <c r="N244" s="10"/>
      <c r="O244" s="10"/>
      <c r="P244" s="10"/>
      <c r="Q244" s="10"/>
      <c r="R244" s="10"/>
      <c r="S244" s="10"/>
      <c r="T244" s="10"/>
      <c r="U244" s="1">
        <f t="shared" si="12"/>
        <v>1.3998489999999999</v>
      </c>
      <c r="V244" s="1">
        <f t="shared" si="13"/>
        <v>1.5596300000000001</v>
      </c>
      <c r="W244" s="1">
        <f t="shared" si="14"/>
        <v>1.59965</v>
      </c>
      <c r="X244" s="1">
        <f t="shared" si="15"/>
        <v>1.5999949999999998</v>
      </c>
    </row>
    <row r="245" spans="2:24" x14ac:dyDescent="0.25">
      <c r="B245" s="11">
        <f>[1]code!B242</f>
        <v>403</v>
      </c>
      <c r="C245" s="2" t="str">
        <f>[1]code!C242</f>
        <v>مبسم شيشة - المشربية</v>
      </c>
      <c r="D245" s="2" t="str">
        <f>[1]code!D242</f>
        <v>الشيشة</v>
      </c>
      <c r="E245" s="1" t="str">
        <f>[1]code!E242</f>
        <v>كيس</v>
      </c>
      <c r="F245" s="2" t="str">
        <f>[1]code!F242</f>
        <v>معسلات المشربية</v>
      </c>
      <c r="G245" s="12">
        <f>[1]code!G242</f>
        <v>2.1567009803921571</v>
      </c>
      <c r="I245" s="10">
        <v>2.1567009803921571</v>
      </c>
      <c r="J245" s="10">
        <v>2.1567009803921571</v>
      </c>
      <c r="K245" s="10">
        <v>2.1567009803921571</v>
      </c>
      <c r="L245" s="10">
        <v>2.1567009803921571</v>
      </c>
      <c r="M245" s="10" t="str">
        <f>IFERROR(VLOOKUP($B245,[1]INV!$B$7:$H$2575,7,0),"")</f>
        <v/>
      </c>
      <c r="N245" s="10"/>
      <c r="O245" s="10"/>
      <c r="P245" s="10"/>
      <c r="Q245" s="10"/>
      <c r="R245" s="10"/>
      <c r="S245" s="10"/>
      <c r="T245" s="10"/>
      <c r="U245" s="1">
        <f t="shared" si="12"/>
        <v>2.1567009803921571</v>
      </c>
      <c r="V245" s="1">
        <f t="shared" si="13"/>
        <v>2.1567009803921571</v>
      </c>
      <c r="W245" s="1">
        <f t="shared" si="14"/>
        <v>2.1567009803921571</v>
      </c>
      <c r="X245" s="1">
        <f t="shared" si="15"/>
        <v>2.1567009803921571</v>
      </c>
    </row>
    <row r="246" spans="2:24" x14ac:dyDescent="0.25">
      <c r="B246" s="11">
        <f>[1]code!B243</f>
        <v>420</v>
      </c>
      <c r="C246" s="2" t="str">
        <f>[1]code!C243</f>
        <v>لي شيشة هفان - المشربية</v>
      </c>
      <c r="D246" s="2" t="str">
        <f>[1]code!D243</f>
        <v>الشيشة</v>
      </c>
      <c r="E246" s="1" t="str">
        <f>[1]code!E243</f>
        <v>حبة</v>
      </c>
      <c r="F246" s="2" t="str">
        <f>[1]code!F243</f>
        <v>معسلات المشربية</v>
      </c>
      <c r="G246" s="12">
        <f>[1]code!G243</f>
        <v>0</v>
      </c>
      <c r="I246" s="10">
        <v>0</v>
      </c>
      <c r="J246" s="10">
        <v>0</v>
      </c>
      <c r="K246" s="10">
        <v>0</v>
      </c>
      <c r="L246" s="10">
        <v>0</v>
      </c>
      <c r="M246" s="10" t="str">
        <f>IFERROR(VLOOKUP($B246,[1]INV!$B$7:$H$2575,7,0),"")</f>
        <v/>
      </c>
      <c r="N246" s="10"/>
      <c r="O246" s="10"/>
      <c r="P246" s="10"/>
      <c r="Q246" s="10"/>
      <c r="R246" s="10"/>
      <c r="S246" s="10"/>
      <c r="T246" s="10"/>
      <c r="U246" s="1">
        <f t="shared" si="12"/>
        <v>0</v>
      </c>
      <c r="V246" s="1">
        <f t="shared" si="13"/>
        <v>0</v>
      </c>
      <c r="W246" s="1">
        <f t="shared" si="14"/>
        <v>0</v>
      </c>
      <c r="X246" s="1">
        <f t="shared" si="15"/>
        <v>0</v>
      </c>
    </row>
    <row r="247" spans="2:24" x14ac:dyDescent="0.25">
      <c r="B247" s="11">
        <f>[1]code!B244</f>
        <v>443</v>
      </c>
      <c r="C247" s="2" t="str">
        <f>[1]code!C244</f>
        <v>معسل تفاحتين نخلة 500 جرام - المشربية</v>
      </c>
      <c r="D247" s="2" t="str">
        <f>[1]code!D244</f>
        <v>الشيشة</v>
      </c>
      <c r="E247" s="1" t="str">
        <f>[1]code!E244</f>
        <v>باكت</v>
      </c>
      <c r="F247" s="2" t="str">
        <f>[1]code!F244</f>
        <v>معسلات المشربية</v>
      </c>
      <c r="G247" s="12">
        <f>[1]code!G244</f>
        <v>145.62493124999997</v>
      </c>
      <c r="I247" s="10">
        <v>145.62493124999997</v>
      </c>
      <c r="J247" s="10">
        <v>144.99947499999999</v>
      </c>
      <c r="K247" s="10">
        <v>145.00004999999999</v>
      </c>
      <c r="L247" s="10">
        <v>145.62507500000001</v>
      </c>
      <c r="M247" s="10">
        <f>IFERROR(VLOOKUP($B247,[1]INV!$B$7:$H$2575,7,0),"")</f>
        <v>145.00005000000002</v>
      </c>
      <c r="N247" s="10"/>
      <c r="O247" s="10"/>
      <c r="P247" s="10"/>
      <c r="Q247" s="10"/>
      <c r="R247" s="10"/>
      <c r="S247" s="10"/>
      <c r="T247" s="10"/>
      <c r="U247" s="1">
        <f t="shared" si="12"/>
        <v>145.62493124999997</v>
      </c>
      <c r="V247" s="1">
        <f t="shared" si="13"/>
        <v>144.99947499999999</v>
      </c>
      <c r="W247" s="1">
        <f t="shared" si="14"/>
        <v>145.00004999999999</v>
      </c>
      <c r="X247" s="1">
        <f t="shared" si="15"/>
        <v>145.62507500000001</v>
      </c>
    </row>
    <row r="248" spans="2:24" x14ac:dyDescent="0.25">
      <c r="B248" s="11">
        <f>[1]code!B245</f>
        <v>451</v>
      </c>
      <c r="C248" s="2" t="str">
        <f>[1]code!C245</f>
        <v>معسل بطيخ 250 جرام  - المشربية</v>
      </c>
      <c r="D248" s="2" t="str">
        <f>[1]code!D245</f>
        <v>الشيشة</v>
      </c>
      <c r="E248" s="1" t="str">
        <f>[1]code!E245</f>
        <v>بكت</v>
      </c>
      <c r="F248" s="2" t="str">
        <f>[1]code!F245</f>
        <v>معسلات المشربية</v>
      </c>
      <c r="G248" s="12">
        <f>[1]code!G245</f>
        <v>76</v>
      </c>
      <c r="I248" s="10">
        <v>0</v>
      </c>
      <c r="J248" s="10">
        <v>0</v>
      </c>
      <c r="K248" s="10">
        <v>0</v>
      </c>
      <c r="L248" s="10">
        <v>0</v>
      </c>
      <c r="M248" s="10" t="str">
        <f>IFERROR(VLOOKUP($B248,[1]INV!$B$7:$H$2575,7,0),"")</f>
        <v/>
      </c>
      <c r="N248" s="10"/>
      <c r="O248" s="10"/>
      <c r="P248" s="10"/>
      <c r="Q248" s="10"/>
      <c r="R248" s="10"/>
      <c r="S248" s="10"/>
      <c r="T248" s="10"/>
      <c r="U248" s="1">
        <f t="shared" si="12"/>
        <v>0</v>
      </c>
      <c r="V248" s="1">
        <f t="shared" si="13"/>
        <v>0</v>
      </c>
      <c r="W248" s="1">
        <f t="shared" si="14"/>
        <v>0</v>
      </c>
      <c r="X248" s="1">
        <f t="shared" si="15"/>
        <v>0</v>
      </c>
    </row>
    <row r="249" spans="2:24" x14ac:dyDescent="0.25">
      <c r="B249" s="11">
        <f>[1]code!B246</f>
        <v>456</v>
      </c>
      <c r="C249" s="2" t="str">
        <f>[1]code!C246</f>
        <v>معسل بطيخ 500 جرام - المشربية</v>
      </c>
      <c r="D249" s="2" t="str">
        <f>[1]code!D246</f>
        <v>الشيشة</v>
      </c>
      <c r="E249" s="1" t="str">
        <f>[1]code!E246</f>
        <v>بكت</v>
      </c>
      <c r="F249" s="2" t="str">
        <f>[1]code!F246</f>
        <v>معسلات المشربية</v>
      </c>
      <c r="G249" s="12">
        <f>[1]code!G246</f>
        <v>134</v>
      </c>
      <c r="I249" s="10">
        <v>135</v>
      </c>
      <c r="J249" s="10">
        <v>134.99965</v>
      </c>
      <c r="K249" s="10">
        <v>135.0008</v>
      </c>
      <c r="L249" s="10">
        <v>135.0008</v>
      </c>
      <c r="M249" s="10" t="str">
        <f>IFERROR(VLOOKUP($B249,[1]INV!$B$7:$H$2575,7,0),"")</f>
        <v/>
      </c>
      <c r="N249" s="10"/>
      <c r="O249" s="10"/>
      <c r="P249" s="10"/>
      <c r="Q249" s="10"/>
      <c r="R249" s="10"/>
      <c r="S249" s="10"/>
      <c r="T249" s="10"/>
      <c r="U249" s="1">
        <f t="shared" si="12"/>
        <v>135</v>
      </c>
      <c r="V249" s="1">
        <f t="shared" si="13"/>
        <v>134.99965</v>
      </c>
      <c r="W249" s="1">
        <f t="shared" si="14"/>
        <v>135.0008</v>
      </c>
      <c r="X249" s="1">
        <f t="shared" si="15"/>
        <v>135.0008</v>
      </c>
    </row>
    <row r="250" spans="2:24" x14ac:dyDescent="0.25">
      <c r="B250" s="11">
        <f>[1]code!B247</f>
        <v>457</v>
      </c>
      <c r="C250" s="2" t="str">
        <f>[1]code!C247</f>
        <v>معسل عنب توت 500 جرام - المشربية</v>
      </c>
      <c r="D250" s="2" t="str">
        <f>[1]code!D247</f>
        <v>الشيشة</v>
      </c>
      <c r="E250" s="1" t="str">
        <f>[1]code!E247</f>
        <v>بكت</v>
      </c>
      <c r="F250" s="2" t="str">
        <f>[1]code!F247</f>
        <v>معسلات المشربية</v>
      </c>
      <c r="G250" s="12">
        <f>[1]code!G247</f>
        <v>135.58790882352943</v>
      </c>
      <c r="I250" s="10">
        <v>135.58790882352943</v>
      </c>
      <c r="J250" s="10">
        <v>135.00006818181819</v>
      </c>
      <c r="K250" s="10">
        <v>136.51726666666664</v>
      </c>
      <c r="L250" s="10">
        <v>135.71093384615386</v>
      </c>
      <c r="M250" s="10">
        <f>IFERROR(VLOOKUP($B250,[1]INV!$B$7:$H$2575,7,0),"")</f>
        <v>134.99999499999998</v>
      </c>
      <c r="N250" s="10"/>
      <c r="O250" s="10"/>
      <c r="P250" s="10"/>
      <c r="Q250" s="10"/>
      <c r="R250" s="10"/>
      <c r="S250" s="10"/>
      <c r="T250" s="10"/>
      <c r="U250" s="1">
        <f t="shared" si="12"/>
        <v>135.58790882352943</v>
      </c>
      <c r="V250" s="1">
        <f t="shared" si="13"/>
        <v>135.00006818181819</v>
      </c>
      <c r="W250" s="1">
        <f t="shared" si="14"/>
        <v>136.51726666666664</v>
      </c>
      <c r="X250" s="1">
        <f t="shared" si="15"/>
        <v>135.71093384615386</v>
      </c>
    </row>
    <row r="251" spans="2:24" x14ac:dyDescent="0.25">
      <c r="B251" s="11">
        <f>[1]code!B248</f>
        <v>458</v>
      </c>
      <c r="C251" s="2" t="str">
        <f>[1]code!C248</f>
        <v>معسل عنب نعناع 500 جرام - المشربية</v>
      </c>
      <c r="D251" s="2" t="str">
        <f>[1]code!D248</f>
        <v>الشيشة</v>
      </c>
      <c r="E251" s="1" t="str">
        <f>[1]code!E248</f>
        <v>بكت</v>
      </c>
      <c r="F251" s="2" t="str">
        <f>[1]code!F248</f>
        <v>معسلات المشربية</v>
      </c>
      <c r="G251" s="12">
        <f>[1]code!G248</f>
        <v>134.99958947368421</v>
      </c>
      <c r="I251" s="10">
        <v>134.99958947368421</v>
      </c>
      <c r="J251" s="10">
        <v>135.00011000000001</v>
      </c>
      <c r="K251" s="10">
        <v>137.73043999999999</v>
      </c>
      <c r="L251" s="10">
        <v>132.55454090909089</v>
      </c>
      <c r="M251" s="10">
        <f>IFERROR(VLOOKUP($B251,[1]INV!$B$7:$H$2575,7,0),"")</f>
        <v>134.99999500000001</v>
      </c>
      <c r="N251" s="10"/>
      <c r="O251" s="10"/>
      <c r="P251" s="10"/>
      <c r="Q251" s="10"/>
      <c r="R251" s="10"/>
      <c r="S251" s="10"/>
      <c r="T251" s="10"/>
      <c r="U251" s="1">
        <f t="shared" si="12"/>
        <v>134.99958947368421</v>
      </c>
      <c r="V251" s="1">
        <f t="shared" si="13"/>
        <v>135.00011000000001</v>
      </c>
      <c r="W251" s="1">
        <f t="shared" si="14"/>
        <v>137.73043999999999</v>
      </c>
      <c r="X251" s="1">
        <f t="shared" si="15"/>
        <v>132.55454090909089</v>
      </c>
    </row>
    <row r="252" spans="2:24" x14ac:dyDescent="0.25">
      <c r="B252" s="11">
        <f>[1]code!B249</f>
        <v>460</v>
      </c>
      <c r="C252" s="2" t="str">
        <f>[1]code!C249</f>
        <v>معسل ليمون نعناع 500 جرام - المشربية</v>
      </c>
      <c r="D252" s="2" t="str">
        <f>[1]code!D249</f>
        <v>الشيشة</v>
      </c>
      <c r="E252" s="1" t="str">
        <f>[1]code!E249</f>
        <v>بكت</v>
      </c>
      <c r="F252" s="2" t="str">
        <f>[1]code!F249</f>
        <v>معسلات المشربية</v>
      </c>
      <c r="G252" s="12">
        <f>[1]code!G249</f>
        <v>134.99955416666666</v>
      </c>
      <c r="I252" s="10">
        <v>134.99955416666666</v>
      </c>
      <c r="J252" s="10">
        <v>135.00003333333333</v>
      </c>
      <c r="K252" s="10">
        <v>136.30062857142858</v>
      </c>
      <c r="L252" s="10">
        <v>135.0008</v>
      </c>
      <c r="M252" s="10">
        <f>IFERROR(VLOOKUP($B252,[1]INV!$B$7:$H$2575,7,0),"")</f>
        <v>134.99965</v>
      </c>
      <c r="N252" s="10"/>
      <c r="O252" s="10"/>
      <c r="P252" s="10"/>
      <c r="Q252" s="10"/>
      <c r="R252" s="10"/>
      <c r="S252" s="10"/>
      <c r="T252" s="10"/>
      <c r="U252" s="1">
        <f t="shared" si="12"/>
        <v>134.99955416666666</v>
      </c>
      <c r="V252" s="1">
        <f t="shared" si="13"/>
        <v>135.00003333333333</v>
      </c>
      <c r="W252" s="1">
        <f t="shared" si="14"/>
        <v>136.30062857142858</v>
      </c>
      <c r="X252" s="1">
        <f t="shared" si="15"/>
        <v>135.0008</v>
      </c>
    </row>
    <row r="253" spans="2:24" x14ac:dyDescent="0.25">
      <c r="B253" s="11">
        <f>[1]code!B250</f>
        <v>465</v>
      </c>
      <c r="C253" s="2" t="str">
        <f>[1]code!C250</f>
        <v>معسل تفاحتين الفاخر 300 جرام- المشربيه</v>
      </c>
      <c r="D253" s="2" t="str">
        <f>[1]code!D250</f>
        <v>الشيشة</v>
      </c>
      <c r="E253" s="1" t="str">
        <f>[1]code!E250</f>
        <v>بكت</v>
      </c>
      <c r="F253" s="2" t="str">
        <f>[1]code!F250</f>
        <v>معسلات المشربية</v>
      </c>
      <c r="G253" s="12">
        <f>[1]code!G250</f>
        <v>134</v>
      </c>
      <c r="I253" s="10">
        <v>134</v>
      </c>
      <c r="J253" s="10">
        <v>134</v>
      </c>
      <c r="K253" s="10">
        <v>134</v>
      </c>
      <c r="L253" s="10">
        <v>134</v>
      </c>
      <c r="M253" s="10" t="str">
        <f>IFERROR(VLOOKUP($B253,[1]INV!$B$7:$H$2575,7,0),"")</f>
        <v/>
      </c>
      <c r="N253" s="10"/>
      <c r="O253" s="10"/>
      <c r="P253" s="10"/>
      <c r="Q253" s="10"/>
      <c r="R253" s="10"/>
      <c r="S253" s="10"/>
      <c r="T253" s="10"/>
      <c r="U253" s="1">
        <f t="shared" si="12"/>
        <v>134</v>
      </c>
      <c r="V253" s="1">
        <f t="shared" si="13"/>
        <v>134</v>
      </c>
      <c r="W253" s="1">
        <f t="shared" si="14"/>
        <v>134</v>
      </c>
      <c r="X253" s="1">
        <f t="shared" si="15"/>
        <v>134</v>
      </c>
    </row>
    <row r="254" spans="2:24" x14ac:dyDescent="0.25">
      <c r="B254" s="11">
        <f>[1]code!B251</f>
        <v>466</v>
      </c>
      <c r="C254" s="2" t="str">
        <f>[1]code!C251</f>
        <v>معسل بلو بيري الفاخر 500 جرام - المشربية</v>
      </c>
      <c r="D254" s="2" t="str">
        <f>[1]code!D251</f>
        <v>الشيشة</v>
      </c>
      <c r="E254" s="1" t="str">
        <f>[1]code!E251</f>
        <v>بكت</v>
      </c>
      <c r="F254" s="2" t="str">
        <f>[1]code!F251</f>
        <v>معسلات المشربية</v>
      </c>
      <c r="G254" s="12">
        <f>[1]code!G251</f>
        <v>134.99965</v>
      </c>
      <c r="I254" s="10">
        <v>134.99965</v>
      </c>
      <c r="J254" s="10">
        <v>135.00041666666667</v>
      </c>
      <c r="K254" s="10">
        <v>135.00041666666667</v>
      </c>
      <c r="L254" s="10">
        <v>133.20718333333332</v>
      </c>
      <c r="M254" s="10">
        <f>IFERROR(VLOOKUP($B254,[1]INV!$B$7:$H$2575,7,0),"")</f>
        <v>134.99965</v>
      </c>
      <c r="N254" s="10"/>
      <c r="O254" s="10"/>
      <c r="P254" s="10"/>
      <c r="Q254" s="10"/>
      <c r="R254" s="10"/>
      <c r="S254" s="10"/>
      <c r="T254" s="10"/>
      <c r="U254" s="1">
        <f t="shared" si="12"/>
        <v>134.99965</v>
      </c>
      <c r="V254" s="1">
        <f t="shared" si="13"/>
        <v>135.00041666666667</v>
      </c>
      <c r="W254" s="1">
        <f t="shared" si="14"/>
        <v>135.00041666666667</v>
      </c>
      <c r="X254" s="1">
        <f t="shared" si="15"/>
        <v>133.20718333333332</v>
      </c>
    </row>
    <row r="255" spans="2:24" x14ac:dyDescent="0.25">
      <c r="B255" s="11">
        <f>[1]code!B252</f>
        <v>473</v>
      </c>
      <c r="C255" s="2" t="str">
        <f>[1]code!C252</f>
        <v>معسل مستكة 500 جرام - المشربية</v>
      </c>
      <c r="D255" s="2" t="str">
        <f>[1]code!D252</f>
        <v>الشيشة</v>
      </c>
      <c r="E255" s="1" t="str">
        <f>[1]code!E252</f>
        <v>بكت</v>
      </c>
      <c r="F255" s="2" t="str">
        <f>[1]code!F252</f>
        <v>معسلات المشربية</v>
      </c>
      <c r="G255" s="12">
        <f>[1]code!G252</f>
        <v>135</v>
      </c>
      <c r="I255" s="10">
        <v>0</v>
      </c>
      <c r="J255" s="10">
        <v>0</v>
      </c>
      <c r="K255" s="10">
        <v>0</v>
      </c>
      <c r="L255" s="10">
        <v>0</v>
      </c>
      <c r="M255" s="10" t="str">
        <f>IFERROR(VLOOKUP($B255,[1]INV!$B$7:$H$2575,7,0),"")</f>
        <v/>
      </c>
      <c r="N255" s="10"/>
      <c r="O255" s="10"/>
      <c r="P255" s="10"/>
      <c r="Q255" s="10"/>
      <c r="R255" s="10"/>
      <c r="S255" s="10"/>
      <c r="T255" s="10"/>
      <c r="U255" s="1">
        <f t="shared" si="12"/>
        <v>0</v>
      </c>
      <c r="V255" s="1">
        <f t="shared" si="13"/>
        <v>0</v>
      </c>
      <c r="W255" s="1">
        <f t="shared" si="14"/>
        <v>0</v>
      </c>
      <c r="X255" s="1">
        <f t="shared" si="15"/>
        <v>0</v>
      </c>
    </row>
    <row r="256" spans="2:24" x14ac:dyDescent="0.25">
      <c r="B256" s="11">
        <f>[1]code!B253</f>
        <v>499</v>
      </c>
      <c r="C256" s="2" t="str">
        <f>[1]code!C253</f>
        <v>معسل عنب 500 جرام - المشربية</v>
      </c>
      <c r="D256" s="2" t="str">
        <f>[1]code!D253</f>
        <v>الشيشة</v>
      </c>
      <c r="E256" s="1" t="str">
        <f>[1]code!E253</f>
        <v>بكت</v>
      </c>
      <c r="F256" s="2" t="str">
        <f>[1]code!F253</f>
        <v>معسلات المشربية</v>
      </c>
      <c r="G256" s="12">
        <f>[1]code!G253</f>
        <v>135.000225</v>
      </c>
      <c r="I256" s="10">
        <v>135.000225</v>
      </c>
      <c r="J256" s="10">
        <v>135.000225</v>
      </c>
      <c r="K256" s="10">
        <v>135.000225</v>
      </c>
      <c r="L256" s="10">
        <v>135.000225</v>
      </c>
      <c r="M256" s="10">
        <f>IFERROR(VLOOKUP($B256,[1]INV!$B$7:$H$2575,7,0),"")</f>
        <v>134.99965</v>
      </c>
      <c r="N256" s="10"/>
      <c r="O256" s="10"/>
      <c r="P256" s="10"/>
      <c r="Q256" s="10"/>
      <c r="R256" s="10"/>
      <c r="S256" s="10"/>
      <c r="T256" s="10"/>
      <c r="U256" s="1">
        <f t="shared" si="12"/>
        <v>135.000225</v>
      </c>
      <c r="V256" s="1">
        <f t="shared" si="13"/>
        <v>135.000225</v>
      </c>
      <c r="W256" s="1">
        <f t="shared" si="14"/>
        <v>135.000225</v>
      </c>
      <c r="X256" s="1">
        <f t="shared" si="15"/>
        <v>135.000225</v>
      </c>
    </row>
    <row r="257" spans="2:24" x14ac:dyDescent="0.25">
      <c r="B257" s="11">
        <f>[1]code!B254</f>
        <v>508</v>
      </c>
      <c r="C257" s="2" t="str">
        <f>[1]code!C254</f>
        <v>جلبة لي شيشة -المشربية</v>
      </c>
      <c r="D257" s="2" t="str">
        <f>[1]code!D254</f>
        <v>الشيشة</v>
      </c>
      <c r="E257" s="1" t="str">
        <f>[1]code!E254</f>
        <v>بكت</v>
      </c>
      <c r="F257" s="2" t="str">
        <f>[1]code!F254</f>
        <v>معسلات المشربية</v>
      </c>
      <c r="G257" s="12">
        <f>[1]code!G254</f>
        <v>0</v>
      </c>
      <c r="I257" s="10">
        <v>0</v>
      </c>
      <c r="J257" s="10">
        <v>0</v>
      </c>
      <c r="K257" s="10">
        <v>0</v>
      </c>
      <c r="L257" s="10">
        <v>0</v>
      </c>
      <c r="M257" s="10" t="str">
        <f>IFERROR(VLOOKUP($B257,[1]INV!$B$7:$H$2575,7,0),"")</f>
        <v/>
      </c>
      <c r="N257" s="10"/>
      <c r="O257" s="10"/>
      <c r="P257" s="10"/>
      <c r="Q257" s="10"/>
      <c r="R257" s="10"/>
      <c r="S257" s="10"/>
      <c r="T257" s="10"/>
      <c r="U257" s="1">
        <f t="shared" si="12"/>
        <v>0</v>
      </c>
      <c r="V257" s="1">
        <f t="shared" si="13"/>
        <v>0</v>
      </c>
      <c r="W257" s="1">
        <f t="shared" si="14"/>
        <v>0</v>
      </c>
      <c r="X257" s="1">
        <f t="shared" si="15"/>
        <v>0</v>
      </c>
    </row>
    <row r="258" spans="2:24" x14ac:dyDescent="0.25">
      <c r="B258" s="11">
        <f>[1]code!B255</f>
        <v>513</v>
      </c>
      <c r="C258" s="2" t="str">
        <f>[1]code!C255</f>
        <v>معسل بلو بيري الفاخر 300 جرام - المشربية</v>
      </c>
      <c r="D258" s="2" t="str">
        <f>[1]code!D255</f>
        <v>الشيشة</v>
      </c>
      <c r="E258" s="1" t="str">
        <f>[1]code!E255</f>
        <v>باكت</v>
      </c>
      <c r="F258" s="2" t="str">
        <f>[1]code!F255</f>
        <v>معسلات المشربية</v>
      </c>
      <c r="G258" s="12">
        <f>[1]code!G255</f>
        <v>134</v>
      </c>
      <c r="I258" s="10">
        <v>134</v>
      </c>
      <c r="J258" s="10">
        <v>134</v>
      </c>
      <c r="K258" s="10">
        <v>134</v>
      </c>
      <c r="L258" s="10">
        <v>134</v>
      </c>
      <c r="M258" s="10" t="str">
        <f>IFERROR(VLOOKUP($B258,[1]INV!$B$7:$H$2575,7,0),"")</f>
        <v/>
      </c>
      <c r="N258" s="10"/>
      <c r="O258" s="10"/>
      <c r="P258" s="10"/>
      <c r="Q258" s="10"/>
      <c r="R258" s="10"/>
      <c r="S258" s="10"/>
      <c r="T258" s="10"/>
      <c r="U258" s="1">
        <f t="shared" si="12"/>
        <v>134</v>
      </c>
      <c r="V258" s="1">
        <f t="shared" si="13"/>
        <v>134</v>
      </c>
      <c r="W258" s="1">
        <f t="shared" si="14"/>
        <v>134</v>
      </c>
      <c r="X258" s="1">
        <f t="shared" si="15"/>
        <v>134</v>
      </c>
    </row>
    <row r="259" spans="2:24" x14ac:dyDescent="0.25">
      <c r="B259" s="11">
        <f>[1]code!B256</f>
        <v>550</v>
      </c>
      <c r="C259" s="2" t="str">
        <f>[1]code!C256</f>
        <v xml:space="preserve"> نكهة شيشة</v>
      </c>
      <c r="D259" s="2" t="str">
        <f>[1]code!D256</f>
        <v>الشيشة</v>
      </c>
      <c r="E259" s="1" t="str">
        <f>[1]code!E256</f>
        <v>بكت</v>
      </c>
      <c r="F259" s="2" t="str">
        <f>[1]code!F256</f>
        <v>معسلات المشربية</v>
      </c>
      <c r="G259" s="12">
        <f>[1]code!G256</f>
        <v>0</v>
      </c>
      <c r="I259" s="10">
        <v>0</v>
      </c>
      <c r="J259" s="10">
        <v>0</v>
      </c>
      <c r="K259" s="10">
        <v>0</v>
      </c>
      <c r="L259" s="10">
        <v>0</v>
      </c>
      <c r="M259" s="10" t="str">
        <f>IFERROR(VLOOKUP($B259,[1]INV!$B$7:$H$2575,7,0),"")</f>
        <v/>
      </c>
      <c r="N259" s="10"/>
      <c r="O259" s="10"/>
      <c r="P259" s="10"/>
      <c r="Q259" s="10"/>
      <c r="R259" s="10"/>
      <c r="S259" s="10"/>
      <c r="T259" s="10"/>
      <c r="U259" s="1">
        <f t="shared" si="12"/>
        <v>0</v>
      </c>
      <c r="V259" s="1">
        <f t="shared" si="13"/>
        <v>0</v>
      </c>
      <c r="W259" s="1">
        <f t="shared" si="14"/>
        <v>0</v>
      </c>
      <c r="X259" s="1">
        <f t="shared" si="15"/>
        <v>0</v>
      </c>
    </row>
    <row r="260" spans="2:24" x14ac:dyDescent="0.25">
      <c r="B260" s="11">
        <f>[1]code!B257</f>
        <v>553</v>
      </c>
      <c r="C260" s="2" t="str">
        <f>[1]code!C257</f>
        <v>ابرة شيشة خرام راس مسمار</v>
      </c>
      <c r="D260" s="2" t="str">
        <f>[1]code!D257</f>
        <v>الشيشة</v>
      </c>
      <c r="E260" s="1" t="str">
        <f>[1]code!E257</f>
        <v>حبة</v>
      </c>
      <c r="F260" s="2" t="str">
        <f>[1]code!F257</f>
        <v>معسلات المشربية</v>
      </c>
      <c r="G260" s="12">
        <f>[1]code!G257</f>
        <v>1.0004999999999999</v>
      </c>
      <c r="I260" s="10">
        <v>0</v>
      </c>
      <c r="J260" s="10">
        <v>0</v>
      </c>
      <c r="K260" s="10">
        <v>0</v>
      </c>
      <c r="L260" s="10">
        <v>0</v>
      </c>
      <c r="M260" s="10" t="str">
        <f>IFERROR(VLOOKUP($B260,[1]INV!$B$7:$H$2575,7,0),"")</f>
        <v/>
      </c>
      <c r="N260" s="10"/>
      <c r="O260" s="10"/>
      <c r="P260" s="10"/>
      <c r="Q260" s="10"/>
      <c r="R260" s="10"/>
      <c r="S260" s="10"/>
      <c r="T260" s="10"/>
      <c r="U260" s="1">
        <f t="shared" si="12"/>
        <v>0</v>
      </c>
      <c r="V260" s="1">
        <f t="shared" si="13"/>
        <v>0</v>
      </c>
      <c r="W260" s="1">
        <f t="shared" si="14"/>
        <v>0</v>
      </c>
      <c r="X260" s="1">
        <f t="shared" si="15"/>
        <v>0</v>
      </c>
    </row>
    <row r="261" spans="2:24" x14ac:dyDescent="0.25">
      <c r="B261" s="11">
        <f>[1]code!B258</f>
        <v>606</v>
      </c>
      <c r="C261" s="2" t="str">
        <f>[1]code!C258</f>
        <v>معسل نعناع 250 جرام  - المشربية</v>
      </c>
      <c r="D261" s="2" t="str">
        <f>[1]code!D258</f>
        <v>الشيشة</v>
      </c>
      <c r="E261" s="1" t="str">
        <f>[1]code!E258</f>
        <v>باكت</v>
      </c>
      <c r="F261" s="2" t="str">
        <f>[1]code!F258</f>
        <v>معسلات المشربية</v>
      </c>
      <c r="G261" s="12">
        <f>[1]code!G258</f>
        <v>0</v>
      </c>
      <c r="I261" s="10">
        <v>0</v>
      </c>
      <c r="J261" s="10">
        <v>0</v>
      </c>
      <c r="K261" s="10">
        <v>0</v>
      </c>
      <c r="L261" s="10">
        <v>0</v>
      </c>
      <c r="M261" s="10" t="str">
        <f>IFERROR(VLOOKUP($B261,[1]INV!$B$7:$H$2575,7,0),"")</f>
        <v/>
      </c>
      <c r="N261" s="10"/>
      <c r="O261" s="10"/>
      <c r="P261" s="10"/>
      <c r="Q261" s="10"/>
      <c r="R261" s="10"/>
      <c r="S261" s="10"/>
      <c r="T261" s="10"/>
      <c r="U261" s="1">
        <f t="shared" si="12"/>
        <v>0</v>
      </c>
      <c r="V261" s="1">
        <f t="shared" si="13"/>
        <v>0</v>
      </c>
      <c r="W261" s="1">
        <f t="shared" si="14"/>
        <v>0</v>
      </c>
      <c r="X261" s="1">
        <f t="shared" si="15"/>
        <v>0</v>
      </c>
    </row>
    <row r="262" spans="2:24" x14ac:dyDescent="0.25">
      <c r="B262" s="11">
        <f>[1]code!B259</f>
        <v>607</v>
      </c>
      <c r="C262" s="2" t="str">
        <f>[1]code!C259</f>
        <v>معسل علكة نعناع 250 جرام  - المشربية</v>
      </c>
      <c r="D262" s="2" t="str">
        <f>[1]code!D259</f>
        <v>الشيشة</v>
      </c>
      <c r="E262" s="1" t="str">
        <f>[1]code!E259</f>
        <v>باكت</v>
      </c>
      <c r="F262" s="2" t="str">
        <f>[1]code!F259</f>
        <v>معسلات المشربية</v>
      </c>
      <c r="G262" s="12">
        <f>[1]code!G259</f>
        <v>62.5</v>
      </c>
      <c r="I262" s="10">
        <v>0</v>
      </c>
      <c r="J262" s="10">
        <v>0</v>
      </c>
      <c r="K262" s="10">
        <v>0</v>
      </c>
      <c r="L262" s="10">
        <v>0</v>
      </c>
      <c r="M262" s="10">
        <f>IFERROR(VLOOKUP($B262,[1]INV!$B$7:$H$2575,7,0),"")</f>
        <v>62.499049999999997</v>
      </c>
      <c r="N262" s="10"/>
      <c r="O262" s="10"/>
      <c r="P262" s="10"/>
      <c r="Q262" s="10"/>
      <c r="R262" s="10"/>
      <c r="S262" s="10"/>
      <c r="T262" s="10"/>
      <c r="U262" s="1">
        <f t="shared" si="12"/>
        <v>0</v>
      </c>
      <c r="V262" s="1">
        <f t="shared" si="13"/>
        <v>0</v>
      </c>
      <c r="W262" s="1">
        <f t="shared" si="14"/>
        <v>0</v>
      </c>
      <c r="X262" s="1">
        <f t="shared" si="15"/>
        <v>0</v>
      </c>
    </row>
    <row r="263" spans="2:24" x14ac:dyDescent="0.25">
      <c r="B263" s="11">
        <f>[1]code!B260</f>
        <v>608</v>
      </c>
      <c r="C263" s="2" t="str">
        <f>[1]code!C260</f>
        <v>معسل بطيخ نعناع 250 جرام  - المشربية</v>
      </c>
      <c r="D263" s="2" t="str">
        <f>[1]code!D260</f>
        <v>الشيشة</v>
      </c>
      <c r="E263" s="1" t="str">
        <f>[1]code!E260</f>
        <v>باكت</v>
      </c>
      <c r="F263" s="2" t="str">
        <f>[1]code!F260</f>
        <v>معسلات المشربية</v>
      </c>
      <c r="G263" s="12">
        <f>[1]code!G260</f>
        <v>67.500399999999999</v>
      </c>
      <c r="I263" s="10">
        <v>67.500399999999999</v>
      </c>
      <c r="J263" s="10">
        <v>67.500399999999999</v>
      </c>
      <c r="K263" s="10">
        <v>67.500399999999999</v>
      </c>
      <c r="L263" s="10">
        <v>67.500399999999999</v>
      </c>
      <c r="M263" s="10">
        <f>IFERROR(VLOOKUP($B263,[1]INV!$B$7:$H$2575,7,0),"")</f>
        <v>70.000500000000002</v>
      </c>
      <c r="N263" s="10"/>
      <c r="O263" s="10"/>
      <c r="P263" s="10"/>
      <c r="Q263" s="10"/>
      <c r="R263" s="10"/>
      <c r="S263" s="10"/>
      <c r="T263" s="10"/>
      <c r="U263" s="1">
        <f t="shared" si="12"/>
        <v>67.500399999999999</v>
      </c>
      <c r="V263" s="1">
        <f t="shared" si="13"/>
        <v>67.500399999999999</v>
      </c>
      <c r="W263" s="1">
        <f t="shared" si="14"/>
        <v>67.500399999999999</v>
      </c>
      <c r="X263" s="1">
        <f t="shared" si="15"/>
        <v>67.500399999999999</v>
      </c>
    </row>
    <row r="264" spans="2:24" x14ac:dyDescent="0.25">
      <c r="B264" s="11">
        <f>[1]code!B261</f>
        <v>792</v>
      </c>
      <c r="C264" s="2" t="str">
        <f>[1]code!C261</f>
        <v>معسل نعناع 500جرام</v>
      </c>
      <c r="D264" s="2" t="str">
        <f>[1]code!D261</f>
        <v>الشيشة</v>
      </c>
      <c r="E264" s="1" t="str">
        <f>[1]code!E261</f>
        <v>باكت</v>
      </c>
      <c r="F264" s="2" t="str">
        <f>[1]code!F261</f>
        <v>معسلات المشربية</v>
      </c>
      <c r="G264" s="12">
        <f>[1]code!G261</f>
        <v>134.99965</v>
      </c>
      <c r="I264" s="10">
        <v>134.99965</v>
      </c>
      <c r="J264" s="10">
        <v>134.99965</v>
      </c>
      <c r="K264" s="10">
        <v>139.55019999999999</v>
      </c>
      <c r="L264" s="10">
        <v>135.000225</v>
      </c>
      <c r="M264" s="10">
        <f>IFERROR(VLOOKUP($B264,[1]INV!$B$7:$H$2575,7,0),"")</f>
        <v>134.99965</v>
      </c>
      <c r="N264" s="10"/>
      <c r="O264" s="10"/>
      <c r="P264" s="10"/>
      <c r="Q264" s="10"/>
      <c r="R264" s="10"/>
      <c r="S264" s="10"/>
      <c r="T264" s="10"/>
      <c r="U264" s="1">
        <f t="shared" ref="U264:U327" si="16">IF($I264="",$G264,$I264)</f>
        <v>134.99965</v>
      </c>
      <c r="V264" s="1">
        <f t="shared" ref="V264:V327" si="17">IF($J264="",$I264,$J264)</f>
        <v>134.99965</v>
      </c>
      <c r="W264" s="1">
        <f t="shared" ref="W264:W327" si="18">IF($K264="",$J264,$K264)</f>
        <v>139.55019999999999</v>
      </c>
      <c r="X264" s="1">
        <f t="shared" ref="X264:X327" si="19">IF($L264="",$K264,$L264)</f>
        <v>135.000225</v>
      </c>
    </row>
    <row r="265" spans="2:24" x14ac:dyDescent="0.25">
      <c r="B265" s="11">
        <f>[1]code!B262</f>
        <v>811</v>
      </c>
      <c r="C265" s="2" t="str">
        <f>[1]code!C262</f>
        <v>معسل عنب نعناع 300جرام</v>
      </c>
      <c r="D265" s="2" t="str">
        <f>[1]code!D262</f>
        <v>الشيشة</v>
      </c>
      <c r="E265" s="1" t="str">
        <f>[1]code!E262</f>
        <v>باكت</v>
      </c>
      <c r="F265" s="2" t="str">
        <f>[1]code!F262</f>
        <v>معسلات المشربية</v>
      </c>
      <c r="G265" s="12">
        <f>[1]code!G262</f>
        <v>65</v>
      </c>
      <c r="I265" s="10">
        <v>65</v>
      </c>
      <c r="J265" s="10">
        <v>65</v>
      </c>
      <c r="K265" s="10">
        <v>65</v>
      </c>
      <c r="L265" s="10">
        <v>65</v>
      </c>
      <c r="M265" s="10" t="str">
        <f>IFERROR(VLOOKUP($B265,[1]INV!$B$7:$H$2575,7,0),"")</f>
        <v/>
      </c>
      <c r="N265" s="10"/>
      <c r="O265" s="10"/>
      <c r="P265" s="10"/>
      <c r="Q265" s="10"/>
      <c r="R265" s="10"/>
      <c r="S265" s="10"/>
      <c r="T265" s="10"/>
      <c r="U265" s="1">
        <f t="shared" si="16"/>
        <v>65</v>
      </c>
      <c r="V265" s="1">
        <f t="shared" si="17"/>
        <v>65</v>
      </c>
      <c r="W265" s="1">
        <f t="shared" si="18"/>
        <v>65</v>
      </c>
      <c r="X265" s="1">
        <f t="shared" si="19"/>
        <v>65</v>
      </c>
    </row>
    <row r="266" spans="2:24" x14ac:dyDescent="0.25">
      <c r="B266" s="11">
        <f>[1]code!B263</f>
        <v>812</v>
      </c>
      <c r="C266" s="2" t="str">
        <f>[1]code!C263</f>
        <v>معسل ليمون نعناع 300جرام</v>
      </c>
      <c r="D266" s="2" t="str">
        <f>[1]code!D263</f>
        <v>الشيشة</v>
      </c>
      <c r="E266" s="1" t="str">
        <f>[1]code!E263</f>
        <v>باكت</v>
      </c>
      <c r="F266" s="2" t="str">
        <f>[1]code!F263</f>
        <v>معسلات المشربية</v>
      </c>
      <c r="G266" s="12">
        <f>[1]code!G263</f>
        <v>65</v>
      </c>
      <c r="I266" s="10">
        <v>0</v>
      </c>
      <c r="J266" s="10">
        <v>0</v>
      </c>
      <c r="K266" s="10">
        <v>0</v>
      </c>
      <c r="L266" s="10">
        <v>0</v>
      </c>
      <c r="M266" s="10" t="str">
        <f>IFERROR(VLOOKUP($B266,[1]INV!$B$7:$H$2575,7,0),"")</f>
        <v/>
      </c>
      <c r="N266" s="10"/>
      <c r="O266" s="10"/>
      <c r="P266" s="10"/>
      <c r="Q266" s="10"/>
      <c r="R266" s="10"/>
      <c r="S266" s="10"/>
      <c r="T266" s="10"/>
      <c r="U266" s="1">
        <f t="shared" si="16"/>
        <v>0</v>
      </c>
      <c r="V266" s="1">
        <f t="shared" si="17"/>
        <v>0</v>
      </c>
      <c r="W266" s="1">
        <f t="shared" si="18"/>
        <v>0</v>
      </c>
      <c r="X266" s="1">
        <f t="shared" si="19"/>
        <v>0</v>
      </c>
    </row>
    <row r="267" spans="2:24" x14ac:dyDescent="0.25">
      <c r="B267" s="11">
        <f>[1]code!B264</f>
        <v>177</v>
      </c>
      <c r="C267" s="2" t="str">
        <f>[1]code!C264</f>
        <v>رول تغليف 6 كيلو</v>
      </c>
      <c r="D267" s="2" t="str">
        <f>[1]code!D264</f>
        <v>تعبئة وتغليف (طحينة)</v>
      </c>
      <c r="E267" s="1" t="str">
        <f>[1]code!E264</f>
        <v>رول</v>
      </c>
      <c r="F267" s="2" t="str">
        <f>[1]code!F264</f>
        <v>معسلات المشربية</v>
      </c>
      <c r="G267" s="12">
        <f>[1]code!G264</f>
        <v>0</v>
      </c>
      <c r="I267" s="10">
        <v>0</v>
      </c>
      <c r="J267" s="10">
        <v>0</v>
      </c>
      <c r="K267" s="10">
        <v>0</v>
      </c>
      <c r="L267" s="10">
        <v>0</v>
      </c>
      <c r="M267" s="10" t="str">
        <f>IFERROR(VLOOKUP($B267,[1]INV!$B$7:$H$2575,7,0),"")</f>
        <v/>
      </c>
      <c r="N267" s="10"/>
      <c r="O267" s="10"/>
      <c r="P267" s="10"/>
      <c r="Q267" s="10"/>
      <c r="R267" s="10"/>
      <c r="S267" s="10"/>
      <c r="T267" s="10"/>
      <c r="U267" s="1">
        <f t="shared" si="16"/>
        <v>0</v>
      </c>
      <c r="V267" s="1">
        <f t="shared" si="17"/>
        <v>0</v>
      </c>
      <c r="W267" s="1">
        <f t="shared" si="18"/>
        <v>0</v>
      </c>
      <c r="X267" s="1">
        <f t="shared" si="19"/>
        <v>0</v>
      </c>
    </row>
    <row r="268" spans="2:24" x14ac:dyDescent="0.25">
      <c r="B268" s="11">
        <f>[1]code!B265</f>
        <v>13</v>
      </c>
      <c r="C268" s="2" t="str">
        <f>[1]code!C265</f>
        <v>علب طحينة 2</v>
      </c>
      <c r="D268" s="2" t="str">
        <f>[1]code!D265</f>
        <v>تعبئة وتغليف (طحينة)</v>
      </c>
      <c r="E268" s="1" t="str">
        <f>[1]code!E265</f>
        <v>حبة</v>
      </c>
      <c r="F268" s="2" t="str">
        <f>[1]code!F265</f>
        <v>واد العطاء</v>
      </c>
      <c r="G268" s="12">
        <f>[1]code!G265</f>
        <v>4.1825925925925926E-2</v>
      </c>
      <c r="I268" s="10">
        <v>4.1825925925925926E-2</v>
      </c>
      <c r="J268" s="10">
        <v>3.9674999999999995E-2</v>
      </c>
      <c r="K268" s="10">
        <v>3.9670071428571436E-2</v>
      </c>
      <c r="L268" s="10">
        <v>4.7202272727272732E-2</v>
      </c>
      <c r="M268" s="10">
        <f>IFERROR(VLOOKUP($B268,[1]INV!$B$7:$H$2575,7,0),"")</f>
        <v>5.0599999999999999E-2</v>
      </c>
      <c r="N268" s="10"/>
      <c r="O268" s="10"/>
      <c r="P268" s="10"/>
      <c r="Q268" s="10"/>
      <c r="R268" s="10"/>
      <c r="S268" s="10"/>
      <c r="T268" s="10"/>
      <c r="U268" s="1">
        <f t="shared" si="16"/>
        <v>4.1825925925925926E-2</v>
      </c>
      <c r="V268" s="1">
        <f t="shared" si="17"/>
        <v>3.9674999999999995E-2</v>
      </c>
      <c r="W268" s="1">
        <f t="shared" si="18"/>
        <v>3.9670071428571436E-2</v>
      </c>
      <c r="X268" s="1">
        <f t="shared" si="19"/>
        <v>4.7202272727272732E-2</v>
      </c>
    </row>
    <row r="269" spans="2:24" x14ac:dyDescent="0.25">
      <c r="B269" s="11">
        <f>[1]code!B266</f>
        <v>139</v>
      </c>
      <c r="C269" s="2" t="str">
        <f>[1]code!C266</f>
        <v>علب طماطم 4</v>
      </c>
      <c r="D269" s="2" t="str">
        <f>[1]code!D266</f>
        <v>تعبئة وتغليف (طحينة)</v>
      </c>
      <c r="E269" s="1" t="str">
        <f>[1]code!E266</f>
        <v>حبة</v>
      </c>
      <c r="F269" s="2" t="str">
        <f>[1]code!F266</f>
        <v>واد العطاء</v>
      </c>
      <c r="G269" s="12">
        <f>[1]code!G266</f>
        <v>8.8819148936170211E-2</v>
      </c>
      <c r="I269" s="10">
        <v>8.8819148936170211E-2</v>
      </c>
      <c r="J269" s="10">
        <v>7.8774999999999998E-2</v>
      </c>
      <c r="K269" s="10">
        <v>7.8364285714285706E-2</v>
      </c>
      <c r="L269" s="10">
        <v>7.8774999999999998E-2</v>
      </c>
      <c r="M269" s="10">
        <f>IFERROR(VLOOKUP($B269,[1]INV!$B$7:$H$2575,7,0),"")</f>
        <v>9.1999999999999998E-2</v>
      </c>
      <c r="N269" s="10"/>
      <c r="O269" s="10"/>
      <c r="P269" s="10"/>
      <c r="Q269" s="10"/>
      <c r="R269" s="10"/>
      <c r="S269" s="10"/>
      <c r="T269" s="10"/>
      <c r="U269" s="1">
        <f t="shared" si="16"/>
        <v>8.8819148936170211E-2</v>
      </c>
      <c r="V269" s="1">
        <f t="shared" si="17"/>
        <v>7.8774999999999998E-2</v>
      </c>
      <c r="W269" s="1">
        <f t="shared" si="18"/>
        <v>7.8364285714285706E-2</v>
      </c>
      <c r="X269" s="1">
        <f t="shared" si="19"/>
        <v>7.8774999999999998E-2</v>
      </c>
    </row>
    <row r="270" spans="2:24" x14ac:dyDescent="0.25">
      <c r="B270" s="11">
        <f>[1]code!B267</f>
        <v>390</v>
      </c>
      <c r="C270" s="2" t="str">
        <f>[1]code!C267</f>
        <v>ملاعق مغلفة أسود - مطبوع طحينة</v>
      </c>
      <c r="D270" s="2" t="str">
        <f>[1]code!D267</f>
        <v>تعبئة وتغليف (طحينة)</v>
      </c>
      <c r="E270" s="1" t="str">
        <f>[1]code!E267</f>
        <v>حبة</v>
      </c>
      <c r="F270" s="2" t="str">
        <f>[1]code!F267</f>
        <v>واد العطاء</v>
      </c>
      <c r="G270" s="12">
        <f>[1]code!G267</f>
        <v>0.1012</v>
      </c>
      <c r="I270" s="10">
        <v>0.1012</v>
      </c>
      <c r="J270" s="10">
        <v>0.1012</v>
      </c>
      <c r="K270" s="10">
        <v>0.1012</v>
      </c>
      <c r="L270" s="10">
        <v>0.1012</v>
      </c>
      <c r="M270" s="10">
        <f>IFERROR(VLOOKUP($B270,[1]INV!$B$7:$H$2575,7,0),"")</f>
        <v>0.1104</v>
      </c>
      <c r="N270" s="10"/>
      <c r="O270" s="10"/>
      <c r="P270" s="10"/>
      <c r="Q270" s="10"/>
      <c r="R270" s="10"/>
      <c r="S270" s="10"/>
      <c r="T270" s="10"/>
      <c r="U270" s="1">
        <f t="shared" si="16"/>
        <v>0.1012</v>
      </c>
      <c r="V270" s="1">
        <f t="shared" si="17"/>
        <v>0.1012</v>
      </c>
      <c r="W270" s="1">
        <f t="shared" si="18"/>
        <v>0.1012</v>
      </c>
      <c r="X270" s="1">
        <f t="shared" si="19"/>
        <v>0.1012</v>
      </c>
    </row>
    <row r="271" spans="2:24" x14ac:dyDescent="0.25">
      <c r="B271" s="11">
        <f>[1]code!B268</f>
        <v>463</v>
      </c>
      <c r="C271" s="2" t="str">
        <f>[1]code!C268</f>
        <v>أطباق قنبلة بلاستيك</v>
      </c>
      <c r="D271" s="2" t="str">
        <f>[1]code!D268</f>
        <v>تعبئة وتغليف (طحينة)</v>
      </c>
      <c r="E271" s="1" t="str">
        <f>[1]code!E268</f>
        <v>حبة</v>
      </c>
      <c r="F271" s="2" t="str">
        <f>[1]code!F268</f>
        <v>واد العطاء</v>
      </c>
      <c r="G271" s="12">
        <f>[1]code!G268</f>
        <v>0.30244999999999994</v>
      </c>
      <c r="I271" s="10">
        <v>0.30244999999999994</v>
      </c>
      <c r="J271" s="10">
        <v>0.29599230769230772</v>
      </c>
      <c r="K271" s="10">
        <v>0.29899999999999999</v>
      </c>
      <c r="L271" s="10">
        <v>0.29899999999999999</v>
      </c>
      <c r="M271" s="10">
        <f>IFERROR(VLOOKUP($B271,[1]INV!$B$7:$H$2575,7,0),"")</f>
        <v>0.29899999999999999</v>
      </c>
      <c r="N271" s="10"/>
      <c r="O271" s="10"/>
      <c r="P271" s="10"/>
      <c r="Q271" s="10"/>
      <c r="R271" s="10"/>
      <c r="S271" s="10"/>
      <c r="T271" s="10"/>
      <c r="U271" s="1">
        <f t="shared" si="16"/>
        <v>0.30244999999999994</v>
      </c>
      <c r="V271" s="1">
        <f t="shared" si="17"/>
        <v>0.29599230769230772</v>
      </c>
      <c r="W271" s="1">
        <f t="shared" si="18"/>
        <v>0.29899999999999999</v>
      </c>
      <c r="X271" s="1">
        <f t="shared" si="19"/>
        <v>0.29899999999999999</v>
      </c>
    </row>
    <row r="272" spans="2:24" x14ac:dyDescent="0.25">
      <c r="B272" s="11">
        <f>[1]code!B269</f>
        <v>117</v>
      </c>
      <c r="C272" s="2" t="str">
        <f>[1]code!C269</f>
        <v>أطباق فلين كبير</v>
      </c>
      <c r="D272" s="2" t="str">
        <f>[1]code!D269</f>
        <v>تعبئة وتغليف (طحينة)</v>
      </c>
      <c r="E272" s="1" t="str">
        <f>[1]code!E269</f>
        <v>حبة</v>
      </c>
      <c r="F272" s="2" t="str">
        <f>[1]code!F269</f>
        <v>واد العطاء</v>
      </c>
      <c r="G272" s="12">
        <f>[1]code!G269</f>
        <v>0.18284999999999998</v>
      </c>
      <c r="I272" s="10">
        <v>0.18284999999999998</v>
      </c>
      <c r="J272" s="10">
        <v>0.16141818181818182</v>
      </c>
      <c r="K272" s="10">
        <v>0.1722835294117647</v>
      </c>
      <c r="L272" s="10">
        <v>0.19188571428571427</v>
      </c>
      <c r="M272" s="10">
        <f>IFERROR(VLOOKUP($B272,[1]INV!$B$7:$H$2575,7,0),"")</f>
        <v>0.2162</v>
      </c>
      <c r="N272" s="10"/>
      <c r="O272" s="10"/>
      <c r="P272" s="10"/>
      <c r="Q272" s="10"/>
      <c r="R272" s="10"/>
      <c r="S272" s="10"/>
      <c r="T272" s="10"/>
      <c r="U272" s="1">
        <f t="shared" si="16"/>
        <v>0.18284999999999998</v>
      </c>
      <c r="V272" s="1">
        <f t="shared" si="17"/>
        <v>0.16141818181818182</v>
      </c>
      <c r="W272" s="1">
        <f t="shared" si="18"/>
        <v>0.1722835294117647</v>
      </c>
      <c r="X272" s="1">
        <f t="shared" si="19"/>
        <v>0.19188571428571427</v>
      </c>
    </row>
    <row r="273" spans="2:24" x14ac:dyDescent="0.25">
      <c r="B273" s="11">
        <f>[1]code!B270</f>
        <v>118</v>
      </c>
      <c r="C273" s="2" t="str">
        <f>[1]code!C270</f>
        <v>أطباق فلين صغير</v>
      </c>
      <c r="D273" s="2" t="str">
        <f>[1]code!D270</f>
        <v>تعبئة وتغليف (طحينة)</v>
      </c>
      <c r="E273" s="1" t="str">
        <f>[1]code!E270</f>
        <v>حبة</v>
      </c>
      <c r="F273" s="2" t="str">
        <f>[1]code!F270</f>
        <v>واد العطاء</v>
      </c>
      <c r="G273" s="12">
        <f>[1]code!G270</f>
        <v>0.10925</v>
      </c>
      <c r="I273" s="10">
        <v>0.10925</v>
      </c>
      <c r="J273" s="10">
        <v>9.8900000000000002E-2</v>
      </c>
      <c r="K273" s="10">
        <v>9.8899999999999988E-2</v>
      </c>
      <c r="L273" s="10">
        <v>0.1196</v>
      </c>
      <c r="M273" s="10">
        <f>IFERROR(VLOOKUP($B273,[1]INV!$B$7:$H$2575,7,0),"")</f>
        <v>0.15640000000000001</v>
      </c>
      <c r="N273" s="10"/>
      <c r="O273" s="10"/>
      <c r="P273" s="10"/>
      <c r="Q273" s="10"/>
      <c r="R273" s="10"/>
      <c r="S273" s="10"/>
      <c r="T273" s="10"/>
      <c r="U273" s="1">
        <f t="shared" si="16"/>
        <v>0.10925</v>
      </c>
      <c r="V273" s="1">
        <f t="shared" si="17"/>
        <v>9.8900000000000002E-2</v>
      </c>
      <c r="W273" s="1">
        <f t="shared" si="18"/>
        <v>9.8899999999999988E-2</v>
      </c>
      <c r="X273" s="1">
        <f t="shared" si="19"/>
        <v>0.1196</v>
      </c>
    </row>
    <row r="274" spans="2:24" x14ac:dyDescent="0.25">
      <c r="B274" s="11">
        <f>[1]code!B271</f>
        <v>48</v>
      </c>
      <c r="C274" s="2" t="str">
        <f>[1]code!C271</f>
        <v>رول زبدة للخبز</v>
      </c>
      <c r="D274" s="2" t="str">
        <f>[1]code!D271</f>
        <v>تعبئة وتغليف (طحينة)</v>
      </c>
      <c r="E274" s="1" t="str">
        <f>[1]code!E271</f>
        <v>رول</v>
      </c>
      <c r="F274" s="2" t="str">
        <f>[1]code!F271</f>
        <v>الظاهرى</v>
      </c>
      <c r="G274" s="12">
        <f>[1]code!G271</f>
        <v>4.3604167049999996</v>
      </c>
      <c r="I274" s="10">
        <v>4.3604167049999996</v>
      </c>
      <c r="J274" s="10">
        <v>4.3591899999999999</v>
      </c>
      <c r="K274" s="10">
        <v>5.1749309999999999</v>
      </c>
      <c r="L274" s="10">
        <v>5.1749999999999998</v>
      </c>
      <c r="M274" s="10">
        <f>IFERROR(VLOOKUP($B274,[1]INV!$B$7:$H$2575,7,0),"")</f>
        <v>5.1749999999999998</v>
      </c>
      <c r="N274" s="10"/>
      <c r="O274" s="10"/>
      <c r="P274" s="10"/>
      <c r="Q274" s="10"/>
      <c r="R274" s="10"/>
      <c r="S274" s="10"/>
      <c r="T274" s="10"/>
      <c r="U274" s="1">
        <f t="shared" si="16"/>
        <v>4.3604167049999996</v>
      </c>
      <c r="V274" s="1">
        <f t="shared" si="17"/>
        <v>4.3591899999999999</v>
      </c>
      <c r="W274" s="1">
        <f t="shared" si="18"/>
        <v>5.1749309999999999</v>
      </c>
      <c r="X274" s="1">
        <f t="shared" si="19"/>
        <v>5.1749999999999998</v>
      </c>
    </row>
    <row r="275" spans="2:24" x14ac:dyDescent="0.25">
      <c r="B275" s="11">
        <f>[1]code!B272</f>
        <v>571</v>
      </c>
      <c r="C275" s="2" t="str">
        <f>[1]code!C272</f>
        <v>أكياس شفاف نايلون خبز</v>
      </c>
      <c r="D275" s="2" t="str">
        <f>[1]code!D272</f>
        <v>تعبئة وتغليف (طحينة)</v>
      </c>
      <c r="E275" s="1" t="str">
        <f>[1]code!E272</f>
        <v>كيلو</v>
      </c>
      <c r="F275" s="2" t="str">
        <f>[1]code!F272</f>
        <v>الظاهرى</v>
      </c>
      <c r="G275" s="12">
        <f>[1]code!G272</f>
        <v>7.7193750383333333</v>
      </c>
      <c r="I275" s="10">
        <v>7.7193750383333333</v>
      </c>
      <c r="J275" s="10">
        <v>7.4749999999999996</v>
      </c>
      <c r="K275" s="10">
        <v>7.4749999999999996</v>
      </c>
      <c r="L275" s="10">
        <v>7.4749999999999996</v>
      </c>
      <c r="M275" s="10">
        <f>IFERROR(VLOOKUP($B275,[1]INV!$B$7:$H$2575,7,0),"")</f>
        <v>7.4749999999999996</v>
      </c>
      <c r="N275" s="10"/>
      <c r="O275" s="10"/>
      <c r="P275" s="10"/>
      <c r="Q275" s="10"/>
      <c r="R275" s="10"/>
      <c r="S275" s="10"/>
      <c r="T275" s="10"/>
      <c r="U275" s="1">
        <f t="shared" si="16"/>
        <v>7.7193750383333333</v>
      </c>
      <c r="V275" s="1">
        <f t="shared" si="17"/>
        <v>7.4749999999999996</v>
      </c>
      <c r="W275" s="1">
        <f t="shared" si="18"/>
        <v>7.4749999999999996</v>
      </c>
      <c r="X275" s="1">
        <f t="shared" si="19"/>
        <v>7.4749999999999996</v>
      </c>
    </row>
    <row r="276" spans="2:24" x14ac:dyDescent="0.25">
      <c r="B276" s="11">
        <f>[1]code!B273</f>
        <v>517</v>
      </c>
      <c r="C276" s="2" t="str">
        <f>[1]code!C273</f>
        <v>أكياس اسطف شدة مقاس 22</v>
      </c>
      <c r="D276" s="2" t="str">
        <f>[1]code!D273</f>
        <v>تعبئة وتغليف (طحينة)</v>
      </c>
      <c r="E276" s="1" t="str">
        <f>[1]code!E273</f>
        <v>كيلو</v>
      </c>
      <c r="F276" s="2" t="str">
        <f>[1]code!F273</f>
        <v>الظاهرى</v>
      </c>
      <c r="G276" s="12">
        <f>[1]code!G273</f>
        <v>6.4814000000000007</v>
      </c>
      <c r="I276" s="10">
        <v>6.4814000000000007</v>
      </c>
      <c r="J276" s="10">
        <v>6.4814000000000007</v>
      </c>
      <c r="K276" s="10">
        <v>6.4813999999999998</v>
      </c>
      <c r="L276" s="10">
        <v>6.4813999999999998</v>
      </c>
      <c r="M276" s="10" t="str">
        <f>IFERROR(VLOOKUP($B276,[1]INV!$B$7:$H$2575,7,0),"")</f>
        <v/>
      </c>
      <c r="N276" s="10"/>
      <c r="O276" s="10"/>
      <c r="P276" s="10"/>
      <c r="Q276" s="10"/>
      <c r="R276" s="10"/>
      <c r="S276" s="10"/>
      <c r="T276" s="10"/>
      <c r="U276" s="1">
        <f t="shared" si="16"/>
        <v>6.4814000000000007</v>
      </c>
      <c r="V276" s="1">
        <f t="shared" si="17"/>
        <v>6.4814000000000007</v>
      </c>
      <c r="W276" s="1">
        <f t="shared" si="18"/>
        <v>6.4813999999999998</v>
      </c>
      <c r="X276" s="1">
        <f t="shared" si="19"/>
        <v>6.4813999999999998</v>
      </c>
    </row>
    <row r="277" spans="2:24" x14ac:dyDescent="0.25">
      <c r="B277" s="11">
        <f>[1]code!B274</f>
        <v>158</v>
      </c>
      <c r="C277" s="2" t="str">
        <f>[1]code!C274</f>
        <v>أعواد أسنان</v>
      </c>
      <c r="D277" s="2" t="str">
        <f>[1]code!D274</f>
        <v>تعبئة وتغليف (طحينة)</v>
      </c>
      <c r="E277" s="1" t="str">
        <f>[1]code!E274</f>
        <v>بكت 1000 حبة</v>
      </c>
      <c r="F277" s="2" t="str">
        <f>[1]code!F274</f>
        <v>الظاهرى</v>
      </c>
      <c r="G277" s="12">
        <f>[1]code!G274</f>
        <v>5.75</v>
      </c>
      <c r="I277" s="10">
        <v>5.75</v>
      </c>
      <c r="J277" s="10">
        <v>5.75</v>
      </c>
      <c r="K277" s="10">
        <v>5.75</v>
      </c>
      <c r="L277" s="10">
        <v>5.75</v>
      </c>
      <c r="M277" s="10" t="str">
        <f>IFERROR(VLOOKUP($B277,[1]INV!$B$7:$H$2575,7,0),"")</f>
        <v/>
      </c>
      <c r="N277" s="10"/>
      <c r="O277" s="10"/>
      <c r="P277" s="10"/>
      <c r="Q277" s="10"/>
      <c r="R277" s="10"/>
      <c r="S277" s="10"/>
      <c r="T277" s="10"/>
      <c r="U277" s="1">
        <f t="shared" si="16"/>
        <v>5.75</v>
      </c>
      <c r="V277" s="1">
        <f t="shared" si="17"/>
        <v>5.75</v>
      </c>
      <c r="W277" s="1">
        <f t="shared" si="18"/>
        <v>5.75</v>
      </c>
      <c r="X277" s="1">
        <f t="shared" si="19"/>
        <v>5.75</v>
      </c>
    </row>
    <row r="278" spans="2:24" x14ac:dyDescent="0.25">
      <c r="B278" s="11">
        <f>[1]code!B275</f>
        <v>191</v>
      </c>
      <c r="C278" s="2" t="str">
        <f>[1]code!C275</f>
        <v>أكياس بهارات 6</v>
      </c>
      <c r="D278" s="2" t="str">
        <f>[1]code!D275</f>
        <v>تعبئة وتغليف (طحينة)</v>
      </c>
      <c r="E278" s="1" t="str">
        <f>[1]code!E275</f>
        <v>كيلو</v>
      </c>
      <c r="F278" s="2" t="str">
        <f>[1]code!F275</f>
        <v>الظاهرى</v>
      </c>
      <c r="G278" s="12">
        <f>[1]code!G275</f>
        <v>7.4749999999999996</v>
      </c>
      <c r="I278" s="10">
        <v>7.4749999999999996</v>
      </c>
      <c r="J278" s="10">
        <v>7.4749999999999996</v>
      </c>
      <c r="K278" s="10">
        <v>7.4749999999999996</v>
      </c>
      <c r="L278" s="10">
        <v>7.4749999999999996</v>
      </c>
      <c r="M278" s="10" t="str">
        <f>IFERROR(VLOOKUP($B278,[1]INV!$B$7:$H$2575,7,0),"")</f>
        <v/>
      </c>
      <c r="N278" s="10"/>
      <c r="O278" s="10"/>
      <c r="P278" s="10"/>
      <c r="Q278" s="10"/>
      <c r="R278" s="10"/>
      <c r="S278" s="10"/>
      <c r="T278" s="10"/>
      <c r="U278" s="1">
        <f t="shared" si="16"/>
        <v>7.4749999999999996</v>
      </c>
      <c r="V278" s="1">
        <f t="shared" si="17"/>
        <v>7.4749999999999996</v>
      </c>
      <c r="W278" s="1">
        <f t="shared" si="18"/>
        <v>7.4749999999999996</v>
      </c>
      <c r="X278" s="1">
        <f t="shared" si="19"/>
        <v>7.4749999999999996</v>
      </c>
    </row>
    <row r="279" spans="2:24" x14ac:dyDescent="0.25">
      <c r="B279" s="11">
        <f>[1]code!B276</f>
        <v>192</v>
      </c>
      <c r="C279" s="2" t="str">
        <f>[1]code!C276</f>
        <v>أكياس بهارات 8</v>
      </c>
      <c r="D279" s="2" t="str">
        <f>[1]code!D276</f>
        <v>تعبئة وتغليف (طحينة)</v>
      </c>
      <c r="E279" s="1" t="str">
        <f>[1]code!E276</f>
        <v>كيلو</v>
      </c>
      <c r="F279" s="2" t="str">
        <f>[1]code!F276</f>
        <v>الظاهرى</v>
      </c>
      <c r="G279" s="12">
        <f>[1]code!G276</f>
        <v>7.76</v>
      </c>
      <c r="I279" s="10">
        <v>7.76</v>
      </c>
      <c r="J279" s="10">
        <v>7.76</v>
      </c>
      <c r="K279" s="10">
        <v>7.4749999999999996</v>
      </c>
      <c r="L279" s="10">
        <v>7.4749999999999996</v>
      </c>
      <c r="M279" s="10" t="str">
        <f>IFERROR(VLOOKUP($B279,[1]INV!$B$7:$H$2575,7,0),"")</f>
        <v/>
      </c>
      <c r="N279" s="10"/>
      <c r="O279" s="10"/>
      <c r="P279" s="10"/>
      <c r="Q279" s="10"/>
      <c r="R279" s="10"/>
      <c r="S279" s="10"/>
      <c r="T279" s="10"/>
      <c r="U279" s="1">
        <f t="shared" si="16"/>
        <v>7.76</v>
      </c>
      <c r="V279" s="1">
        <f t="shared" si="17"/>
        <v>7.76</v>
      </c>
      <c r="W279" s="1">
        <f t="shared" si="18"/>
        <v>7.4749999999999996</v>
      </c>
      <c r="X279" s="1">
        <f t="shared" si="19"/>
        <v>7.4749999999999996</v>
      </c>
    </row>
    <row r="280" spans="2:24" x14ac:dyDescent="0.25">
      <c r="B280" s="11">
        <f>[1]code!B277</f>
        <v>10</v>
      </c>
      <c r="C280" s="2" t="str">
        <f>[1]code!C277</f>
        <v>صحن مشاوي ألمنيوم</v>
      </c>
      <c r="D280" s="2" t="str">
        <f>[1]code!D277</f>
        <v>تعبئة وتغليف (طحينة)</v>
      </c>
      <c r="E280" s="1" t="str">
        <f>[1]code!E277</f>
        <v>حبة</v>
      </c>
      <c r="F280" s="2" t="str">
        <f>[1]code!F277</f>
        <v>واد العطاء</v>
      </c>
      <c r="G280" s="12">
        <f>[1]code!G277</f>
        <v>0.16807692307692307</v>
      </c>
      <c r="I280" s="10">
        <v>0.16807692307692307</v>
      </c>
      <c r="J280" s="10">
        <v>0.19550000000000003</v>
      </c>
      <c r="K280" s="10">
        <v>0.20580399999999999</v>
      </c>
      <c r="L280" s="10">
        <v>0.23805000000000001</v>
      </c>
      <c r="M280" s="10">
        <f>IFERROR(VLOOKUP($B280,[1]INV!$B$7:$H$2575,7,0),"")</f>
        <v>0.24149999999999999</v>
      </c>
      <c r="N280" s="10"/>
      <c r="O280" s="10"/>
      <c r="P280" s="10"/>
      <c r="Q280" s="10"/>
      <c r="R280" s="10"/>
      <c r="S280" s="10"/>
      <c r="T280" s="10"/>
      <c r="U280" s="1">
        <f t="shared" si="16"/>
        <v>0.16807692307692307</v>
      </c>
      <c r="V280" s="1">
        <f t="shared" si="17"/>
        <v>0.19550000000000003</v>
      </c>
      <c r="W280" s="1">
        <f t="shared" si="18"/>
        <v>0.20580399999999999</v>
      </c>
      <c r="X280" s="1">
        <f t="shared" si="19"/>
        <v>0.23805000000000001</v>
      </c>
    </row>
    <row r="281" spans="2:24" x14ac:dyDescent="0.25">
      <c r="B281" s="11">
        <f>[1]code!B278</f>
        <v>18</v>
      </c>
      <c r="C281" s="2" t="str">
        <f>[1]code!C278</f>
        <v>أطباق ورق حواوشي</v>
      </c>
      <c r="D281" s="2" t="str">
        <f>[1]code!D278</f>
        <v>تعبئة وتغليف (طحينة)</v>
      </c>
      <c r="E281" s="1" t="str">
        <f>[1]code!E278</f>
        <v>حبة</v>
      </c>
      <c r="F281" s="2" t="str">
        <f>[1]code!F278</f>
        <v>واد العطاء</v>
      </c>
      <c r="G281" s="12">
        <f>[1]code!G278</f>
        <v>5.3743318000000005E-2</v>
      </c>
      <c r="I281" s="10">
        <v>5.3743318000000005E-2</v>
      </c>
      <c r="J281" s="10">
        <v>5.0791670499999997E-2</v>
      </c>
      <c r="K281" s="10">
        <v>5.1750000000000004E-2</v>
      </c>
      <c r="L281" s="10">
        <v>5.5583295000000005E-2</v>
      </c>
      <c r="M281" s="10">
        <f>IFERROR(VLOOKUP($B281,[1]INV!$B$7:$H$2575,7,0),"")</f>
        <v>5.5199999999999999E-2</v>
      </c>
      <c r="N281" s="10"/>
      <c r="O281" s="10"/>
      <c r="P281" s="10"/>
      <c r="Q281" s="10"/>
      <c r="R281" s="10"/>
      <c r="S281" s="10"/>
      <c r="T281" s="10"/>
      <c r="U281" s="1">
        <f t="shared" si="16"/>
        <v>5.3743318000000005E-2</v>
      </c>
      <c r="V281" s="1">
        <f t="shared" si="17"/>
        <v>5.0791670499999997E-2</v>
      </c>
      <c r="W281" s="1">
        <f t="shared" si="18"/>
        <v>5.1750000000000004E-2</v>
      </c>
      <c r="X281" s="1">
        <f t="shared" si="19"/>
        <v>5.5583295000000005E-2</v>
      </c>
    </row>
    <row r="282" spans="2:24" x14ac:dyDescent="0.25">
      <c r="B282" s="11">
        <f>[1]code!B279</f>
        <v>791</v>
      </c>
      <c r="C282" s="2" t="str">
        <f>[1]code!C279</f>
        <v xml:space="preserve">رول قصدير 30سم *1350 جرام </v>
      </c>
      <c r="D282" s="2" t="str">
        <f>[1]code!D279</f>
        <v>تعبئة وتغليف (طحينة)</v>
      </c>
      <c r="E282" s="1" t="str">
        <f>[1]code!E279</f>
        <v>رول</v>
      </c>
      <c r="F282" s="2" t="str">
        <f>[1]code!F279</f>
        <v>واد العطاء</v>
      </c>
      <c r="G282" s="12">
        <f>[1]code!G279</f>
        <v>22.401161578125002</v>
      </c>
      <c r="I282" s="10">
        <v>22.401161578125002</v>
      </c>
      <c r="J282" s="10">
        <v>22.04205</v>
      </c>
      <c r="K282" s="10">
        <v>22.045500000000001</v>
      </c>
      <c r="L282" s="10">
        <v>29.708356333333338</v>
      </c>
      <c r="M282" s="10">
        <f>IFERROR(VLOOKUP($B282,[1]INV!$B$7:$H$2575,7,0),"")</f>
        <v>30.66705</v>
      </c>
      <c r="N282" s="10"/>
      <c r="O282" s="10"/>
      <c r="P282" s="10"/>
      <c r="Q282" s="10"/>
      <c r="R282" s="10"/>
      <c r="S282" s="10"/>
      <c r="T282" s="10"/>
      <c r="U282" s="1">
        <f t="shared" si="16"/>
        <v>22.401161578125002</v>
      </c>
      <c r="V282" s="1">
        <f t="shared" si="17"/>
        <v>22.04205</v>
      </c>
      <c r="W282" s="1">
        <f t="shared" si="18"/>
        <v>22.045500000000001</v>
      </c>
      <c r="X282" s="1">
        <f t="shared" si="19"/>
        <v>29.708356333333338</v>
      </c>
    </row>
    <row r="283" spans="2:24" x14ac:dyDescent="0.25">
      <c r="B283" s="11">
        <f>[1]code!B280</f>
        <v>26</v>
      </c>
      <c r="C283" s="2" t="str">
        <f>[1]code!C280</f>
        <v>مناديل سفرة</v>
      </c>
      <c r="D283" s="2" t="str">
        <f>[1]code!D280</f>
        <v>تعبئة وتغليف (طحينة)</v>
      </c>
      <c r="E283" s="1" t="str">
        <f>[1]code!E280</f>
        <v>حبة</v>
      </c>
      <c r="F283" s="2" t="str">
        <f>[1]code!F280</f>
        <v>الظاهرى</v>
      </c>
      <c r="G283" s="12">
        <f>[1]code!G280</f>
        <v>3.4599999999999999E-2</v>
      </c>
      <c r="I283" s="10">
        <v>0</v>
      </c>
      <c r="J283" s="10">
        <v>0</v>
      </c>
      <c r="K283" s="10">
        <v>0</v>
      </c>
      <c r="L283" s="10">
        <v>0</v>
      </c>
      <c r="M283" s="10" t="str">
        <f>IFERROR(VLOOKUP($B283,[1]INV!$B$7:$H$2575,7,0),"")</f>
        <v/>
      </c>
      <c r="N283" s="10"/>
      <c r="O283" s="10"/>
      <c r="P283" s="10"/>
      <c r="Q283" s="10"/>
      <c r="R283" s="10"/>
      <c r="S283" s="10"/>
      <c r="T283" s="10"/>
      <c r="U283" s="1">
        <f t="shared" si="16"/>
        <v>0</v>
      </c>
      <c r="V283" s="1">
        <f t="shared" si="17"/>
        <v>0</v>
      </c>
      <c r="W283" s="1">
        <f t="shared" si="18"/>
        <v>0</v>
      </c>
      <c r="X283" s="1">
        <f t="shared" si="19"/>
        <v>0</v>
      </c>
    </row>
    <row r="284" spans="2:24" x14ac:dyDescent="0.25">
      <c r="B284" s="11">
        <f>[1]code!B281</f>
        <v>178</v>
      </c>
      <c r="C284" s="2" t="str">
        <f>[1]code!C281</f>
        <v>مناديل معطرة غير مطبوع</v>
      </c>
      <c r="D284" s="2" t="str">
        <f>[1]code!D281</f>
        <v>تعبئة وتغليف (طحينة)</v>
      </c>
      <c r="E284" s="1" t="str">
        <f>[1]code!E281</f>
        <v>حبة</v>
      </c>
      <c r="F284" s="2" t="str">
        <f>[1]code!F281</f>
        <v>فيرم</v>
      </c>
      <c r="G284" s="12">
        <f>[1]code!G281</f>
        <v>0</v>
      </c>
      <c r="I284" s="10">
        <v>0</v>
      </c>
      <c r="J284" s="10">
        <v>0</v>
      </c>
      <c r="K284" s="10">
        <v>0</v>
      </c>
      <c r="L284" s="10">
        <v>0</v>
      </c>
      <c r="M284" s="10" t="str">
        <f>IFERROR(VLOOKUP($B284,[1]INV!$B$7:$H$2575,7,0),"")</f>
        <v/>
      </c>
      <c r="N284" s="10"/>
      <c r="O284" s="10"/>
      <c r="P284" s="10"/>
      <c r="Q284" s="10"/>
      <c r="R284" s="10"/>
      <c r="S284" s="10"/>
      <c r="T284" s="10"/>
      <c r="U284" s="1">
        <f t="shared" si="16"/>
        <v>0</v>
      </c>
      <c r="V284" s="1">
        <f t="shared" si="17"/>
        <v>0</v>
      </c>
      <c r="W284" s="1">
        <f t="shared" si="18"/>
        <v>0</v>
      </c>
      <c r="X284" s="1">
        <f t="shared" si="19"/>
        <v>0</v>
      </c>
    </row>
    <row r="285" spans="2:24" x14ac:dyDescent="0.25">
      <c r="B285" s="11">
        <f>[1]code!B282</f>
        <v>476</v>
      </c>
      <c r="C285" s="2" t="str">
        <f>[1]code!C282</f>
        <v>ورق بطاطس مسطح</v>
      </c>
      <c r="D285" s="2" t="str">
        <f>[1]code!D282</f>
        <v>تعبئة وتغليف (طحينة)</v>
      </c>
      <c r="E285" s="1" t="str">
        <f>[1]code!E282</f>
        <v>حبة</v>
      </c>
      <c r="F285" s="2" t="str">
        <f>[1]code!F282</f>
        <v>فيرم</v>
      </c>
      <c r="G285" s="12">
        <f>[1]code!G282</f>
        <v>0</v>
      </c>
      <c r="I285" s="10">
        <v>0</v>
      </c>
      <c r="J285" s="10">
        <v>0</v>
      </c>
      <c r="K285" s="10">
        <v>0</v>
      </c>
      <c r="L285" s="10">
        <v>0</v>
      </c>
      <c r="M285" s="10" t="str">
        <f>IFERROR(VLOOKUP($B285,[1]INV!$B$7:$H$2575,7,0),"")</f>
        <v/>
      </c>
      <c r="N285" s="10"/>
      <c r="O285" s="10"/>
      <c r="P285" s="10"/>
      <c r="Q285" s="10"/>
      <c r="R285" s="10"/>
      <c r="S285" s="10"/>
      <c r="T285" s="10"/>
      <c r="U285" s="1">
        <f t="shared" si="16"/>
        <v>0</v>
      </c>
      <c r="V285" s="1">
        <f t="shared" si="17"/>
        <v>0</v>
      </c>
      <c r="W285" s="1">
        <f t="shared" si="18"/>
        <v>0</v>
      </c>
      <c r="X285" s="1">
        <f t="shared" si="19"/>
        <v>0</v>
      </c>
    </row>
    <row r="286" spans="2:24" x14ac:dyDescent="0.25">
      <c r="B286" s="11">
        <f>[1]code!B283</f>
        <v>535</v>
      </c>
      <c r="C286" s="2" t="str">
        <f>[1]code!C283</f>
        <v>رول تغليف 5 كيلو</v>
      </c>
      <c r="D286" s="2" t="str">
        <f>[1]code!D283</f>
        <v>تعبئة وتغليف (طحينة)</v>
      </c>
      <c r="E286" s="1" t="str">
        <f>[1]code!E283</f>
        <v>رول</v>
      </c>
      <c r="F286" s="2" t="str">
        <f>[1]code!F283</f>
        <v>واد العطاء</v>
      </c>
      <c r="G286" s="12">
        <f>[1]code!G283</f>
        <v>38.837719298245617</v>
      </c>
      <c r="I286" s="10">
        <v>38.837719298245617</v>
      </c>
      <c r="J286" s="10">
        <v>34.5</v>
      </c>
      <c r="K286" s="10">
        <v>34.5</v>
      </c>
      <c r="L286" s="10">
        <v>45.712499999999999</v>
      </c>
      <c r="M286" s="10">
        <f>IFERROR(VLOOKUP($B286,[1]INV!$B$7:$H$2575,7,0),"")</f>
        <v>46</v>
      </c>
      <c r="N286" s="10"/>
      <c r="O286" s="10"/>
      <c r="P286" s="10"/>
      <c r="Q286" s="10"/>
      <c r="R286" s="10"/>
      <c r="S286" s="10"/>
      <c r="T286" s="10"/>
      <c r="U286" s="1">
        <f t="shared" si="16"/>
        <v>38.837719298245617</v>
      </c>
      <c r="V286" s="1">
        <f t="shared" si="17"/>
        <v>34.5</v>
      </c>
      <c r="W286" s="1">
        <f t="shared" si="18"/>
        <v>34.5</v>
      </c>
      <c r="X286" s="1">
        <f t="shared" si="19"/>
        <v>45.712499999999999</v>
      </c>
    </row>
    <row r="287" spans="2:24" x14ac:dyDescent="0.25">
      <c r="B287" s="11">
        <f>[1]code!B284</f>
        <v>11</v>
      </c>
      <c r="C287" s="2" t="str">
        <f>[1]code!C284</f>
        <v>رول قصدير</v>
      </c>
      <c r="D287" s="2" t="str">
        <f>[1]code!D284</f>
        <v>تعبئة وتغليف (طحينة)</v>
      </c>
      <c r="E287" s="1" t="str">
        <f>[1]code!E284</f>
        <v>رول</v>
      </c>
      <c r="F287" s="2" t="str">
        <f>[1]code!F284</f>
        <v>ابوسهم</v>
      </c>
      <c r="G287" s="12">
        <f>[1]code!G284</f>
        <v>17.25</v>
      </c>
      <c r="I287" s="10">
        <v>17.25</v>
      </c>
      <c r="J287" s="10">
        <v>17.25</v>
      </c>
      <c r="K287" s="10">
        <v>17.25</v>
      </c>
      <c r="L287" s="10">
        <v>17.25</v>
      </c>
      <c r="M287" s="10" t="str">
        <f>IFERROR(VLOOKUP($B287,[1]INV!$B$7:$H$2575,7,0),"")</f>
        <v/>
      </c>
      <c r="N287" s="10"/>
      <c r="O287" s="10"/>
      <c r="P287" s="10"/>
      <c r="Q287" s="10"/>
      <c r="R287" s="10"/>
      <c r="S287" s="10"/>
      <c r="T287" s="10"/>
      <c r="U287" s="1">
        <f t="shared" si="16"/>
        <v>17.25</v>
      </c>
      <c r="V287" s="1">
        <f t="shared" si="17"/>
        <v>17.25</v>
      </c>
      <c r="W287" s="1">
        <f t="shared" si="18"/>
        <v>17.25</v>
      </c>
      <c r="X287" s="1">
        <f t="shared" si="19"/>
        <v>17.25</v>
      </c>
    </row>
    <row r="288" spans="2:24" x14ac:dyDescent="0.25">
      <c r="B288" s="11">
        <f>[1]code!B285</f>
        <v>593</v>
      </c>
      <c r="C288" s="2" t="str">
        <f>[1]code!C285</f>
        <v>شوك مغلفة أسود - غير مطبوع</v>
      </c>
      <c r="D288" s="2" t="str">
        <f>[1]code!D285</f>
        <v>تعبئة وتغليف (المشربية)</v>
      </c>
      <c r="E288" s="1" t="str">
        <f>[1]code!E285</f>
        <v>حبة</v>
      </c>
      <c r="F288" s="2" t="str">
        <f>[1]code!F285</f>
        <v>الظاهرى</v>
      </c>
      <c r="G288" s="12">
        <f>[1]code!G285</f>
        <v>8.6249999999999993E-2</v>
      </c>
      <c r="I288" s="10">
        <v>8.6249999999999993E-2</v>
      </c>
      <c r="J288" s="10">
        <v>8.6249999999999993E-2</v>
      </c>
      <c r="K288" s="10">
        <v>8.6249999999999993E-2</v>
      </c>
      <c r="L288" s="10">
        <v>8.6249999999999993E-2</v>
      </c>
      <c r="M288" s="10" t="str">
        <f>IFERROR(VLOOKUP($B288,[1]INV!$B$7:$H$2575,7,0),"")</f>
        <v/>
      </c>
      <c r="N288" s="10"/>
      <c r="O288" s="10"/>
      <c r="P288" s="10"/>
      <c r="Q288" s="10"/>
      <c r="R288" s="10"/>
      <c r="S288" s="10"/>
      <c r="T288" s="10"/>
      <c r="U288" s="1">
        <f t="shared" si="16"/>
        <v>8.6249999999999993E-2</v>
      </c>
      <c r="V288" s="1">
        <f t="shared" si="17"/>
        <v>8.6249999999999993E-2</v>
      </c>
      <c r="W288" s="1">
        <f t="shared" si="18"/>
        <v>8.6249999999999993E-2</v>
      </c>
      <c r="X288" s="1">
        <f t="shared" si="19"/>
        <v>8.6249999999999993E-2</v>
      </c>
    </row>
    <row r="289" spans="2:24" x14ac:dyDescent="0.25">
      <c r="B289" s="11">
        <f>[1]code!B286</f>
        <v>594</v>
      </c>
      <c r="C289" s="2" t="str">
        <f>[1]code!C286</f>
        <v>ملاعق مغلفة أسود - غير مطبوع</v>
      </c>
      <c r="D289" s="2" t="str">
        <f>[1]code!D286</f>
        <v>تعبئة وتغليف (المشربية)</v>
      </c>
      <c r="E289" s="1" t="str">
        <f>[1]code!E286</f>
        <v>حبة</v>
      </c>
      <c r="F289" s="2" t="str">
        <f>[1]code!F286</f>
        <v>الظاهرى</v>
      </c>
      <c r="G289" s="12">
        <f>[1]code!G286</f>
        <v>0.10349999999999999</v>
      </c>
      <c r="I289" s="10">
        <v>0</v>
      </c>
      <c r="J289" s="10">
        <v>0</v>
      </c>
      <c r="K289" s="10">
        <v>0</v>
      </c>
      <c r="L289" s="10">
        <v>0</v>
      </c>
      <c r="M289" s="10" t="str">
        <f>IFERROR(VLOOKUP($B289,[1]INV!$B$7:$H$2575,7,0),"")</f>
        <v/>
      </c>
      <c r="N289" s="10"/>
      <c r="O289" s="10"/>
      <c r="P289" s="10"/>
      <c r="Q289" s="10"/>
      <c r="R289" s="10"/>
      <c r="S289" s="10"/>
      <c r="T289" s="10"/>
      <c r="U289" s="1">
        <f t="shared" si="16"/>
        <v>0</v>
      </c>
      <c r="V289" s="1">
        <f t="shared" si="17"/>
        <v>0</v>
      </c>
      <c r="W289" s="1">
        <f t="shared" si="18"/>
        <v>0</v>
      </c>
      <c r="X289" s="1">
        <f t="shared" si="19"/>
        <v>0</v>
      </c>
    </row>
    <row r="290" spans="2:24" x14ac:dyDescent="0.25">
      <c r="B290" s="11">
        <f>[1]code!B287</f>
        <v>379</v>
      </c>
      <c r="C290" s="2" t="str">
        <f>[1]code!C287</f>
        <v>أكواب شاي ورقية - المشربية</v>
      </c>
      <c r="D290" s="2" t="str">
        <f>[1]code!D287</f>
        <v>تعبئة وتغليف (المشربية)</v>
      </c>
      <c r="E290" s="1" t="str">
        <f>[1]code!E287</f>
        <v>حبة</v>
      </c>
      <c r="F290" s="2" t="str">
        <f>[1]code!F287</f>
        <v>الظاهرى</v>
      </c>
      <c r="G290" s="12">
        <f>[1]code!G287</f>
        <v>0.26214390243902441</v>
      </c>
      <c r="I290" s="10">
        <v>0.26214390243902441</v>
      </c>
      <c r="J290" s="10">
        <v>0.26214390243902441</v>
      </c>
      <c r="K290" s="10">
        <v>0.26214390243902441</v>
      </c>
      <c r="L290" s="10">
        <v>0.26214390243902441</v>
      </c>
      <c r="M290" s="10" t="str">
        <f>IFERROR(VLOOKUP($B290,[1]INV!$B$7:$H$2575,7,0),"")</f>
        <v/>
      </c>
      <c r="N290" s="10"/>
      <c r="O290" s="10"/>
      <c r="P290" s="10"/>
      <c r="Q290" s="10"/>
      <c r="R290" s="10"/>
      <c r="S290" s="10"/>
      <c r="T290" s="10"/>
      <c r="U290" s="1">
        <f t="shared" si="16"/>
        <v>0.26214390243902441</v>
      </c>
      <c r="V290" s="1">
        <f t="shared" si="17"/>
        <v>0.26214390243902441</v>
      </c>
      <c r="W290" s="1">
        <f t="shared" si="18"/>
        <v>0.26214390243902441</v>
      </c>
      <c r="X290" s="1">
        <f t="shared" si="19"/>
        <v>0.26214390243902441</v>
      </c>
    </row>
    <row r="291" spans="2:24" x14ac:dyDescent="0.25">
      <c r="B291" s="11">
        <f>[1]code!B288</f>
        <v>380</v>
      </c>
      <c r="C291" s="2" t="str">
        <f>[1]code!C288</f>
        <v>أكواب عصير شفاف - المشربية</v>
      </c>
      <c r="D291" s="2" t="str">
        <f>[1]code!D288</f>
        <v>تعبئة وتغليف (المشربية)</v>
      </c>
      <c r="E291" s="1" t="str">
        <f>[1]code!E288</f>
        <v>حبة</v>
      </c>
      <c r="F291" s="2" t="str">
        <f>[1]code!F288</f>
        <v>الظاهرى</v>
      </c>
      <c r="G291" s="12">
        <f>[1]code!G288</f>
        <v>0.21274999999999999</v>
      </c>
      <c r="I291" s="10">
        <v>0.21274999999999999</v>
      </c>
      <c r="J291" s="10">
        <v>0.21274999999999999</v>
      </c>
      <c r="K291" s="10">
        <v>0.21274999999999999</v>
      </c>
      <c r="L291" s="10">
        <v>0.21274999999999999</v>
      </c>
      <c r="M291" s="10" t="str">
        <f>IFERROR(VLOOKUP($B291,[1]INV!$B$7:$H$2575,7,0),"")</f>
        <v/>
      </c>
      <c r="N291" s="10"/>
      <c r="O291" s="10"/>
      <c r="P291" s="10"/>
      <c r="Q291" s="10"/>
      <c r="R291" s="10"/>
      <c r="S291" s="10"/>
      <c r="T291" s="10"/>
      <c r="U291" s="1">
        <f t="shared" si="16"/>
        <v>0.21274999999999999</v>
      </c>
      <c r="V291" s="1">
        <f t="shared" si="17"/>
        <v>0.21274999999999999</v>
      </c>
      <c r="W291" s="1">
        <f t="shared" si="18"/>
        <v>0.21274999999999999</v>
      </c>
      <c r="X291" s="1">
        <f t="shared" si="19"/>
        <v>0.21274999999999999</v>
      </c>
    </row>
    <row r="292" spans="2:24" x14ac:dyDescent="0.25">
      <c r="B292" s="11">
        <f>[1]code!B289</f>
        <v>389</v>
      </c>
      <c r="C292" s="2" t="str">
        <f>[1]code!C289</f>
        <v>شنطة سفري أبيض 36</v>
      </c>
      <c r="D292" s="2" t="str">
        <f>[1]code!D289</f>
        <v>تعبئة وتغليف (المشربية)</v>
      </c>
      <c r="E292" s="1" t="str">
        <f>[1]code!E289</f>
        <v>حبة</v>
      </c>
      <c r="F292" s="2" t="str">
        <f>[1]code!F289</f>
        <v>مشتريات مباشرة</v>
      </c>
      <c r="G292" s="12">
        <f>[1]code!G289</f>
        <v>0.72</v>
      </c>
      <c r="I292" s="10">
        <v>0.72</v>
      </c>
      <c r="J292" s="10">
        <v>0.72</v>
      </c>
      <c r="K292" s="10">
        <v>0.72</v>
      </c>
      <c r="L292" s="10">
        <v>0.72</v>
      </c>
      <c r="M292" s="10" t="str">
        <f>IFERROR(VLOOKUP($B292,[1]INV!$B$7:$H$2575,7,0),"")</f>
        <v/>
      </c>
      <c r="N292" s="10"/>
      <c r="O292" s="10"/>
      <c r="P292" s="10"/>
      <c r="Q292" s="10"/>
      <c r="R292" s="10"/>
      <c r="S292" s="10"/>
      <c r="T292" s="10"/>
      <c r="U292" s="1">
        <f t="shared" si="16"/>
        <v>0.72</v>
      </c>
      <c r="V292" s="1">
        <f t="shared" si="17"/>
        <v>0.72</v>
      </c>
      <c r="W292" s="1">
        <f t="shared" si="18"/>
        <v>0.72</v>
      </c>
      <c r="X292" s="1">
        <f t="shared" si="19"/>
        <v>0.72</v>
      </c>
    </row>
    <row r="293" spans="2:24" x14ac:dyDescent="0.25">
      <c r="B293" s="11">
        <f>[1]code!B290</f>
        <v>404</v>
      </c>
      <c r="C293" s="2" t="str">
        <f>[1]code!C290</f>
        <v>أعواد تحريك-المشربية</v>
      </c>
      <c r="D293" s="2" t="str">
        <f>[1]code!D290</f>
        <v>تعبئة وتغليف (المشربية)</v>
      </c>
      <c r="E293" s="1" t="str">
        <f>[1]code!E290</f>
        <v>بكت</v>
      </c>
      <c r="F293" s="2" t="str">
        <f>[1]code!F290</f>
        <v>مشتريات مباشرة</v>
      </c>
      <c r="G293" s="12">
        <f>[1]code!G290</f>
        <v>4.8875000000000002</v>
      </c>
      <c r="I293" s="10">
        <v>4.8875000000000002</v>
      </c>
      <c r="J293" s="10">
        <v>4.8875000000000002</v>
      </c>
      <c r="K293" s="10">
        <v>10.925000000000001</v>
      </c>
      <c r="L293" s="10">
        <v>10.925000000000001</v>
      </c>
      <c r="M293" s="10" t="str">
        <f>IFERROR(VLOOKUP($B293,[1]INV!$B$7:$H$2575,7,0),"")</f>
        <v/>
      </c>
      <c r="N293" s="10"/>
      <c r="O293" s="10"/>
      <c r="P293" s="10"/>
      <c r="Q293" s="10"/>
      <c r="R293" s="10"/>
      <c r="S293" s="10"/>
      <c r="T293" s="10"/>
      <c r="U293" s="1">
        <f t="shared" si="16"/>
        <v>4.8875000000000002</v>
      </c>
      <c r="V293" s="1">
        <f t="shared" si="17"/>
        <v>4.8875000000000002</v>
      </c>
      <c r="W293" s="1">
        <f t="shared" si="18"/>
        <v>10.925000000000001</v>
      </c>
      <c r="X293" s="1">
        <f t="shared" si="19"/>
        <v>10.925000000000001</v>
      </c>
    </row>
    <row r="294" spans="2:24" x14ac:dyDescent="0.25">
      <c r="B294" s="11">
        <f>[1]code!B291</f>
        <v>437</v>
      </c>
      <c r="C294" s="2" t="str">
        <f>[1]code!C291</f>
        <v>أطباق بلاستيك أسود بغطاء 16</v>
      </c>
      <c r="D294" s="2" t="str">
        <f>[1]code!D291</f>
        <v>تعبئة وتغليف (المشربية)</v>
      </c>
      <c r="E294" s="1" t="str">
        <f>[1]code!E291</f>
        <v>حبة</v>
      </c>
      <c r="F294" s="2" t="str">
        <f>[1]code!F291</f>
        <v>الظاهرى</v>
      </c>
      <c r="G294" s="12">
        <f>[1]code!G291</f>
        <v>0</v>
      </c>
      <c r="I294" s="10">
        <v>0</v>
      </c>
      <c r="J294" s="10">
        <v>0</v>
      </c>
      <c r="K294" s="10">
        <v>0</v>
      </c>
      <c r="L294" s="10">
        <v>0</v>
      </c>
      <c r="M294" s="10" t="str">
        <f>IFERROR(VLOOKUP($B294,[1]INV!$B$7:$H$2575,7,0),"")</f>
        <v/>
      </c>
      <c r="N294" s="10"/>
      <c r="O294" s="10"/>
      <c r="P294" s="10"/>
      <c r="Q294" s="10"/>
      <c r="R294" s="10"/>
      <c r="S294" s="10"/>
      <c r="T294" s="10"/>
      <c r="U294" s="1">
        <f t="shared" si="16"/>
        <v>0</v>
      </c>
      <c r="V294" s="1">
        <f t="shared" si="17"/>
        <v>0</v>
      </c>
      <c r="W294" s="1">
        <f t="shared" si="18"/>
        <v>0</v>
      </c>
      <c r="X294" s="1">
        <f t="shared" si="19"/>
        <v>0</v>
      </c>
    </row>
    <row r="295" spans="2:24" x14ac:dyDescent="0.25">
      <c r="B295" s="11">
        <f>[1]code!B292</f>
        <v>438</v>
      </c>
      <c r="C295" s="2" t="str">
        <f>[1]code!C292</f>
        <v>أعواد خشب مشاوي - المشربية</v>
      </c>
      <c r="D295" s="2" t="str">
        <f>[1]code!D292</f>
        <v>تعبئة وتغليف (المشربية)</v>
      </c>
      <c r="E295" s="1" t="str">
        <f>[1]code!E292</f>
        <v>بكت</v>
      </c>
      <c r="F295" s="2" t="str">
        <f>[1]code!F292</f>
        <v>الظاهرى</v>
      </c>
      <c r="G295" s="12">
        <f>[1]code!G292</f>
        <v>1.3915</v>
      </c>
      <c r="I295" s="10">
        <v>1.3915</v>
      </c>
      <c r="J295" s="10">
        <v>1.3915</v>
      </c>
      <c r="K295" s="10">
        <v>1.3915</v>
      </c>
      <c r="L295" s="10">
        <v>1.3915</v>
      </c>
      <c r="M295" s="10" t="str">
        <f>IFERROR(VLOOKUP($B295,[1]INV!$B$7:$H$2575,7,0),"")</f>
        <v/>
      </c>
      <c r="N295" s="10"/>
      <c r="O295" s="10"/>
      <c r="P295" s="10"/>
      <c r="Q295" s="10"/>
      <c r="R295" s="10"/>
      <c r="S295" s="10"/>
      <c r="T295" s="10"/>
      <c r="U295" s="1">
        <f t="shared" si="16"/>
        <v>1.3915</v>
      </c>
      <c r="V295" s="1">
        <f t="shared" si="17"/>
        <v>1.3915</v>
      </c>
      <c r="W295" s="1">
        <f t="shared" si="18"/>
        <v>1.3915</v>
      </c>
      <c r="X295" s="1">
        <f t="shared" si="19"/>
        <v>1.3915</v>
      </c>
    </row>
    <row r="296" spans="2:24" x14ac:dyDescent="0.25">
      <c r="B296" s="11">
        <f>[1]code!B293</f>
        <v>462</v>
      </c>
      <c r="C296" s="2" t="str">
        <f>[1]code!C293</f>
        <v>شنطة سفري أسود 29 - المشربية</v>
      </c>
      <c r="D296" s="2" t="str">
        <f>[1]code!D293</f>
        <v>تعبئة وتغليف (المشربية)</v>
      </c>
      <c r="E296" s="1" t="str">
        <f>[1]code!E293</f>
        <v>حبة</v>
      </c>
      <c r="F296" s="2" t="str">
        <f>[1]code!F293</f>
        <v>مشتريات مباشرة</v>
      </c>
      <c r="G296" s="12">
        <f>[1]code!G293</f>
        <v>1.0004999999999999</v>
      </c>
      <c r="I296" s="10">
        <v>1</v>
      </c>
      <c r="J296" s="10">
        <v>1</v>
      </c>
      <c r="K296" s="10">
        <v>0.99999975000000008</v>
      </c>
      <c r="L296" s="10">
        <v>1.00004</v>
      </c>
      <c r="M296" s="10">
        <f>IFERROR(VLOOKUP($B296,[1]INV!$B$7:$H$2575,7,0),"")</f>
        <v>0.9999825</v>
      </c>
      <c r="N296" s="10"/>
      <c r="O296" s="10"/>
      <c r="P296" s="10"/>
      <c r="Q296" s="10"/>
      <c r="R296" s="10"/>
      <c r="S296" s="10"/>
      <c r="T296" s="10"/>
      <c r="U296" s="1">
        <f t="shared" si="16"/>
        <v>1</v>
      </c>
      <c r="V296" s="1">
        <f t="shared" si="17"/>
        <v>1</v>
      </c>
      <c r="W296" s="1">
        <f t="shared" si="18"/>
        <v>0.99999975000000008</v>
      </c>
      <c r="X296" s="1">
        <f t="shared" si="19"/>
        <v>1.00004</v>
      </c>
    </row>
    <row r="297" spans="2:24" x14ac:dyDescent="0.25">
      <c r="B297" s="11">
        <f>[1]code!B294</f>
        <v>491</v>
      </c>
      <c r="C297" s="2" t="str">
        <f>[1]code!C294</f>
        <v>أغطية أكواب شاي أسود - المشربية</v>
      </c>
      <c r="D297" s="2" t="str">
        <f>[1]code!D294</f>
        <v>تعبئة وتغليف (المشربية)</v>
      </c>
      <c r="E297" s="1" t="str">
        <f>[1]code!E294</f>
        <v>حبة</v>
      </c>
      <c r="F297" s="2" t="str">
        <f>[1]code!F294</f>
        <v>الظاهرى</v>
      </c>
      <c r="G297" s="12">
        <f>[1]code!G294</f>
        <v>0</v>
      </c>
      <c r="I297" s="10">
        <v>0</v>
      </c>
      <c r="J297" s="10">
        <v>0</v>
      </c>
      <c r="K297" s="10">
        <v>0</v>
      </c>
      <c r="L297" s="10">
        <v>0</v>
      </c>
      <c r="M297" s="10" t="str">
        <f>IFERROR(VLOOKUP($B297,[1]INV!$B$7:$H$2575,7,0),"")</f>
        <v/>
      </c>
      <c r="N297" s="10"/>
      <c r="O297" s="10"/>
      <c r="P297" s="10"/>
      <c r="Q297" s="10"/>
      <c r="R297" s="10"/>
      <c r="S297" s="10"/>
      <c r="T297" s="10"/>
      <c r="U297" s="1">
        <f t="shared" si="16"/>
        <v>0</v>
      </c>
      <c r="V297" s="1">
        <f t="shared" si="17"/>
        <v>0</v>
      </c>
      <c r="W297" s="1">
        <f t="shared" si="18"/>
        <v>0</v>
      </c>
      <c r="X297" s="1">
        <f t="shared" si="19"/>
        <v>0</v>
      </c>
    </row>
    <row r="298" spans="2:24" x14ac:dyDescent="0.25">
      <c r="B298" s="11">
        <f>[1]code!B295</f>
        <v>464</v>
      </c>
      <c r="C298" s="2" t="str">
        <f>[1]code!C295</f>
        <v>أطباق كشري - المشربية</v>
      </c>
      <c r="D298" s="2" t="str">
        <f>[1]code!D295</f>
        <v>تعبئة وتغليف (المشربية)</v>
      </c>
      <c r="E298" s="1" t="str">
        <f>[1]code!E295</f>
        <v>حبة</v>
      </c>
      <c r="F298" s="2" t="str">
        <f>[1]code!F295</f>
        <v>مشتريات مباشرة</v>
      </c>
      <c r="G298" s="12">
        <f>[1]code!G295</f>
        <v>0</v>
      </c>
      <c r="I298" s="10">
        <v>0</v>
      </c>
      <c r="J298" s="10">
        <v>0</v>
      </c>
      <c r="K298" s="10">
        <v>0</v>
      </c>
      <c r="L298" s="10">
        <v>0</v>
      </c>
      <c r="M298" s="10" t="str">
        <f>IFERROR(VLOOKUP($B298,[1]INV!$B$7:$H$2575,7,0),"")</f>
        <v/>
      </c>
      <c r="N298" s="10"/>
      <c r="O298" s="10"/>
      <c r="P298" s="10"/>
      <c r="Q298" s="10"/>
      <c r="R298" s="10"/>
      <c r="S298" s="10"/>
      <c r="T298" s="10"/>
      <c r="U298" s="1">
        <f t="shared" si="16"/>
        <v>0</v>
      </c>
      <c r="V298" s="1">
        <f t="shared" si="17"/>
        <v>0</v>
      </c>
      <c r="W298" s="1">
        <f t="shared" si="18"/>
        <v>0</v>
      </c>
      <c r="X298" s="1">
        <f t="shared" si="19"/>
        <v>0</v>
      </c>
    </row>
    <row r="299" spans="2:24" x14ac:dyDescent="0.25">
      <c r="B299" s="11">
        <f>[1]code!B296</f>
        <v>490</v>
      </c>
      <c r="C299" s="2" t="str">
        <f>[1]code!C296</f>
        <v>أطباق قشطوطة بلاستيك 24</v>
      </c>
      <c r="D299" s="2" t="str">
        <f>[1]code!D296</f>
        <v>تعبئة وتغليف (المشربية)</v>
      </c>
      <c r="E299" s="1" t="str">
        <f>[1]code!E296</f>
        <v>حبة</v>
      </c>
      <c r="F299" s="2" t="str">
        <f>[1]code!F296</f>
        <v>الظاهرى</v>
      </c>
      <c r="G299" s="12">
        <f>[1]code!G296</f>
        <v>0.74</v>
      </c>
      <c r="I299" s="10">
        <v>0.74</v>
      </c>
      <c r="J299" s="10">
        <v>0.74</v>
      </c>
      <c r="K299" s="10">
        <v>0.74</v>
      </c>
      <c r="L299" s="10">
        <v>0.74</v>
      </c>
      <c r="M299" s="10" t="str">
        <f>IFERROR(VLOOKUP($B299,[1]INV!$B$7:$H$2575,7,0),"")</f>
        <v/>
      </c>
      <c r="N299" s="10"/>
      <c r="O299" s="10"/>
      <c r="P299" s="10"/>
      <c r="Q299" s="10"/>
      <c r="R299" s="10"/>
      <c r="S299" s="10"/>
      <c r="T299" s="10"/>
      <c r="U299" s="1">
        <f t="shared" si="16"/>
        <v>0.74</v>
      </c>
      <c r="V299" s="1">
        <f t="shared" si="17"/>
        <v>0.74</v>
      </c>
      <c r="W299" s="1">
        <f t="shared" si="18"/>
        <v>0.74</v>
      </c>
      <c r="X299" s="1">
        <f t="shared" si="19"/>
        <v>0.74</v>
      </c>
    </row>
    <row r="300" spans="2:24" x14ac:dyDescent="0.25">
      <c r="B300" s="11">
        <f>[1]code!B297</f>
        <v>783</v>
      </c>
      <c r="C300" s="2" t="str">
        <f>[1]code!C297</f>
        <v>حامل اكواب</v>
      </c>
      <c r="D300" s="2" t="str">
        <f>[1]code!D297</f>
        <v>تعبئة وتغليف (المشربية)</v>
      </c>
      <c r="E300" s="1" t="str">
        <f>[1]code!E297</f>
        <v>حبة</v>
      </c>
      <c r="F300" s="2" t="str">
        <f>[1]code!F297</f>
        <v>مشتريات مباشرة</v>
      </c>
      <c r="G300" s="12">
        <f>[1]code!G297</f>
        <v>0.35995000000000005</v>
      </c>
      <c r="I300" s="10">
        <v>0.35995000000000005</v>
      </c>
      <c r="J300" s="10">
        <v>0.35995000000000005</v>
      </c>
      <c r="K300" s="10">
        <v>0.35995000000000005</v>
      </c>
      <c r="L300" s="10">
        <v>0.35995000000000005</v>
      </c>
      <c r="M300" s="10" t="str">
        <f>IFERROR(VLOOKUP($B300,[1]INV!$B$7:$H$2575,7,0),"")</f>
        <v/>
      </c>
      <c r="N300" s="10"/>
      <c r="O300" s="10"/>
      <c r="P300" s="10"/>
      <c r="Q300" s="10"/>
      <c r="R300" s="10"/>
      <c r="S300" s="10"/>
      <c r="T300" s="10"/>
      <c r="U300" s="1">
        <f t="shared" si="16"/>
        <v>0.35995000000000005</v>
      </c>
      <c r="V300" s="1">
        <f t="shared" si="17"/>
        <v>0.35995000000000005</v>
      </c>
      <c r="W300" s="1">
        <f t="shared" si="18"/>
        <v>0.35995000000000005</v>
      </c>
      <c r="X300" s="1">
        <f t="shared" si="19"/>
        <v>0.35995000000000005</v>
      </c>
    </row>
    <row r="301" spans="2:24" x14ac:dyDescent="0.25">
      <c r="B301" s="11">
        <f>[1]code!B298</f>
        <v>381</v>
      </c>
      <c r="C301" s="2" t="str">
        <f>[1]code!C298</f>
        <v xml:space="preserve">مصاص أسود مغلف </v>
      </c>
      <c r="D301" s="2" t="str">
        <f>[1]code!D298</f>
        <v>تعبئة وتغليف (المشربية)</v>
      </c>
      <c r="E301" s="1" t="str">
        <f>[1]code!E298</f>
        <v>شدة</v>
      </c>
      <c r="F301" s="2" t="str">
        <f>[1]code!F298</f>
        <v>الظاهرى</v>
      </c>
      <c r="G301" s="12">
        <f>[1]code!G298</f>
        <v>2.5300000000000002</v>
      </c>
      <c r="I301" s="10">
        <v>2.5300000000000002</v>
      </c>
      <c r="J301" s="10">
        <v>2.5300000000000002</v>
      </c>
      <c r="K301" s="10">
        <v>2.5300000000000002</v>
      </c>
      <c r="L301" s="10">
        <v>2.5300000000000002</v>
      </c>
      <c r="M301" s="10" t="str">
        <f>IFERROR(VLOOKUP($B301,[1]INV!$B$7:$H$2575,7,0),"")</f>
        <v/>
      </c>
      <c r="N301" s="10"/>
      <c r="O301" s="10"/>
      <c r="P301" s="10"/>
      <c r="Q301" s="10"/>
      <c r="R301" s="10"/>
      <c r="S301" s="10"/>
      <c r="T301" s="10"/>
      <c r="U301" s="1">
        <f t="shared" si="16"/>
        <v>2.5300000000000002</v>
      </c>
      <c r="V301" s="1">
        <f t="shared" si="17"/>
        <v>2.5300000000000002</v>
      </c>
      <c r="W301" s="1">
        <f t="shared" si="18"/>
        <v>2.5300000000000002</v>
      </c>
      <c r="X301" s="1">
        <f t="shared" si="19"/>
        <v>2.5300000000000002</v>
      </c>
    </row>
    <row r="302" spans="2:24" x14ac:dyDescent="0.25">
      <c r="B302" s="11">
        <f>[1]code!B299</f>
        <v>744</v>
      </c>
      <c r="C302" s="2" t="str">
        <f>[1]code!C299</f>
        <v xml:space="preserve">علبة قصب مستطیلة ١٠٠٠ مل </v>
      </c>
      <c r="D302" s="2" t="str">
        <f>[1]code!D299</f>
        <v>تعبئة و تغليف (باك ستريت)</v>
      </c>
      <c r="E302" s="1" t="str">
        <f>[1]code!E299</f>
        <v>حبة</v>
      </c>
      <c r="F302" s="2" t="str">
        <f>[1]code!F299</f>
        <v>وساطة وضمان</v>
      </c>
      <c r="G302" s="12">
        <f>[1]code!G299</f>
        <v>0</v>
      </c>
      <c r="I302" s="10">
        <v>0</v>
      </c>
      <c r="J302" s="10">
        <v>0</v>
      </c>
      <c r="K302" s="10">
        <v>0</v>
      </c>
      <c r="L302" s="10">
        <v>0</v>
      </c>
      <c r="M302" s="10" t="str">
        <f>IFERROR(VLOOKUP($B302,[1]INV!$B$7:$H$2575,7,0),"")</f>
        <v/>
      </c>
      <c r="N302" s="10"/>
      <c r="O302" s="10"/>
      <c r="P302" s="10"/>
      <c r="Q302" s="10"/>
      <c r="R302" s="10"/>
      <c r="S302" s="10"/>
      <c r="T302" s="10"/>
      <c r="U302" s="1">
        <f t="shared" si="16"/>
        <v>0</v>
      </c>
      <c r="V302" s="1">
        <f t="shared" si="17"/>
        <v>0</v>
      </c>
      <c r="W302" s="1">
        <f t="shared" si="18"/>
        <v>0</v>
      </c>
      <c r="X302" s="1">
        <f t="shared" si="19"/>
        <v>0</v>
      </c>
    </row>
    <row r="303" spans="2:24" x14ac:dyDescent="0.25">
      <c r="B303" s="11">
        <f>[1]code!B300</f>
        <v>685</v>
      </c>
      <c r="C303" s="2" t="str">
        <f>[1]code!C300</f>
        <v xml:space="preserve">علبة قصب بیضاوي ٨٥٠ مل </v>
      </c>
      <c r="D303" s="2" t="str">
        <f>[1]code!D300</f>
        <v>تعبئة و تغليف (باك ستريت)</v>
      </c>
      <c r="E303" s="1" t="str">
        <f>[1]code!E300</f>
        <v>حبة</v>
      </c>
      <c r="F303" s="2" t="str">
        <f>[1]code!F300</f>
        <v>وساطة وضمان</v>
      </c>
      <c r="G303" s="12">
        <f>[1]code!G300</f>
        <v>0</v>
      </c>
      <c r="I303" s="10">
        <v>0</v>
      </c>
      <c r="J303" s="10">
        <v>0</v>
      </c>
      <c r="K303" s="10">
        <v>0</v>
      </c>
      <c r="L303" s="10">
        <v>0</v>
      </c>
      <c r="M303" s="10" t="str">
        <f>IFERROR(VLOOKUP($B303,[1]INV!$B$7:$H$2575,7,0),"")</f>
        <v/>
      </c>
      <c r="N303" s="10"/>
      <c r="O303" s="10"/>
      <c r="P303" s="10"/>
      <c r="Q303" s="10"/>
      <c r="R303" s="10"/>
      <c r="S303" s="10"/>
      <c r="T303" s="10"/>
      <c r="U303" s="1">
        <f t="shared" si="16"/>
        <v>0</v>
      </c>
      <c r="V303" s="1">
        <f t="shared" si="17"/>
        <v>0</v>
      </c>
      <c r="W303" s="1">
        <f t="shared" si="18"/>
        <v>0</v>
      </c>
      <c r="X303" s="1">
        <f t="shared" si="19"/>
        <v>0</v>
      </c>
    </row>
    <row r="304" spans="2:24" x14ac:dyDescent="0.25">
      <c r="B304" s="11">
        <f>[1]code!B301</f>
        <v>745</v>
      </c>
      <c r="C304" s="2" t="str">
        <f>[1]code!C301</f>
        <v xml:space="preserve">علبة برجر قصب ٤٥٠ مل </v>
      </c>
      <c r="D304" s="2" t="str">
        <f>[1]code!D301</f>
        <v>تعبئة و تغليف (باك ستريت)</v>
      </c>
      <c r="E304" s="1" t="str">
        <f>[1]code!E301</f>
        <v>حبة</v>
      </c>
      <c r="F304" s="2" t="str">
        <f>[1]code!F301</f>
        <v>الظاهرى</v>
      </c>
      <c r="G304" s="12">
        <f>[1]code!G301</f>
        <v>0</v>
      </c>
      <c r="I304" s="10">
        <v>0</v>
      </c>
      <c r="J304" s="10">
        <v>0</v>
      </c>
      <c r="K304" s="10">
        <v>0</v>
      </c>
      <c r="L304" s="10">
        <v>0</v>
      </c>
      <c r="M304" s="10" t="str">
        <f>IFERROR(VLOOKUP($B304,[1]INV!$B$7:$H$2575,7,0),"")</f>
        <v/>
      </c>
      <c r="N304" s="10"/>
      <c r="O304" s="10"/>
      <c r="P304" s="10"/>
      <c r="Q304" s="10"/>
      <c r="R304" s="10"/>
      <c r="S304" s="10"/>
      <c r="T304" s="10"/>
      <c r="U304" s="1">
        <f t="shared" si="16"/>
        <v>0</v>
      </c>
      <c r="V304" s="1">
        <f t="shared" si="17"/>
        <v>0</v>
      </c>
      <c r="W304" s="1">
        <f t="shared" si="18"/>
        <v>0</v>
      </c>
      <c r="X304" s="1">
        <f t="shared" si="19"/>
        <v>0</v>
      </c>
    </row>
    <row r="305" spans="2:24" x14ac:dyDescent="0.25">
      <c r="B305" s="11">
        <f>[1]code!B302</f>
        <v>746</v>
      </c>
      <c r="C305" s="2" t="str">
        <f>[1]code!C302</f>
        <v>وعاء ميكرويف 32 اونز</v>
      </c>
      <c r="D305" s="2" t="str">
        <f>[1]code!D302</f>
        <v>تعبئة و تغليف (باك ستريت)</v>
      </c>
      <c r="E305" s="1" t="str">
        <f>[1]code!E302</f>
        <v>حبة</v>
      </c>
      <c r="F305" s="2" t="str">
        <f>[1]code!F302</f>
        <v>الظاهرى</v>
      </c>
      <c r="G305" s="12">
        <f>[1]code!G302</f>
        <v>0</v>
      </c>
      <c r="I305" s="10">
        <v>0</v>
      </c>
      <c r="J305" s="10">
        <v>0</v>
      </c>
      <c r="K305" s="10">
        <v>0</v>
      </c>
      <c r="L305" s="10">
        <v>0</v>
      </c>
      <c r="M305" s="10" t="str">
        <f>IFERROR(VLOOKUP($B305,[1]INV!$B$7:$H$2575,7,0),"")</f>
        <v/>
      </c>
      <c r="N305" s="10"/>
      <c r="O305" s="10"/>
      <c r="P305" s="10"/>
      <c r="Q305" s="10"/>
      <c r="R305" s="10"/>
      <c r="S305" s="10"/>
      <c r="T305" s="10"/>
      <c r="U305" s="1">
        <f t="shared" si="16"/>
        <v>0</v>
      </c>
      <c r="V305" s="1">
        <f t="shared" si="17"/>
        <v>0</v>
      </c>
      <c r="W305" s="1">
        <f t="shared" si="18"/>
        <v>0</v>
      </c>
      <c r="X305" s="1">
        <f t="shared" si="19"/>
        <v>0</v>
      </c>
    </row>
    <row r="306" spans="2:24" x14ac:dyDescent="0.25">
      <c r="B306" s="11">
        <f>[1]code!B303</f>
        <v>763</v>
      </c>
      <c r="C306" s="2" t="str">
        <f>[1]code!C303</f>
        <v xml:space="preserve">علب ھوت باك حلا ١٦ اونز </v>
      </c>
      <c r="D306" s="2" t="str">
        <f>[1]code!D303</f>
        <v>تعبئة و تغليف (باك ستريت)</v>
      </c>
      <c r="E306" s="1" t="str">
        <f>[1]code!E303</f>
        <v>حبة</v>
      </c>
      <c r="F306" s="2" t="str">
        <f>[1]code!F303</f>
        <v>هوت باك</v>
      </c>
      <c r="G306" s="12">
        <f>[1]code!G303</f>
        <v>0</v>
      </c>
      <c r="I306" s="10">
        <v>0</v>
      </c>
      <c r="J306" s="10">
        <v>0</v>
      </c>
      <c r="K306" s="10">
        <v>0</v>
      </c>
      <c r="L306" s="10">
        <v>0</v>
      </c>
      <c r="M306" s="10" t="str">
        <f>IFERROR(VLOOKUP($B306,[1]INV!$B$7:$H$2575,7,0),"")</f>
        <v/>
      </c>
      <c r="N306" s="10"/>
      <c r="O306" s="10"/>
      <c r="P306" s="10"/>
      <c r="Q306" s="10"/>
      <c r="R306" s="10"/>
      <c r="S306" s="10"/>
      <c r="T306" s="10"/>
      <c r="U306" s="1">
        <f t="shared" si="16"/>
        <v>0</v>
      </c>
      <c r="V306" s="1">
        <f t="shared" si="17"/>
        <v>0</v>
      </c>
      <c r="W306" s="1">
        <f t="shared" si="18"/>
        <v>0</v>
      </c>
      <c r="X306" s="1">
        <f t="shared" si="19"/>
        <v>0</v>
      </c>
    </row>
    <row r="307" spans="2:24" x14ac:dyDescent="0.25">
      <c r="B307" s="11">
        <f>[1]code!B304</f>
        <v>740</v>
      </c>
      <c r="C307" s="2" t="str">
        <f>[1]code!C304</f>
        <v xml:space="preserve">صحن ورقي بني </v>
      </c>
      <c r="D307" s="2" t="str">
        <f>[1]code!D304</f>
        <v>تعبئة و تغليف (باك ستريت)</v>
      </c>
      <c r="E307" s="1" t="str">
        <f>[1]code!E304</f>
        <v>حبة</v>
      </c>
      <c r="F307" s="2" t="str">
        <f>[1]code!F304</f>
        <v>مشتريات مباشرة</v>
      </c>
      <c r="G307" s="12">
        <f>[1]code!G304</f>
        <v>0</v>
      </c>
      <c r="I307" s="10">
        <v>0</v>
      </c>
      <c r="J307" s="10">
        <v>0</v>
      </c>
      <c r="K307" s="10">
        <v>0</v>
      </c>
      <c r="L307" s="10">
        <v>0</v>
      </c>
      <c r="M307" s="10" t="str">
        <f>IFERROR(VLOOKUP($B307,[1]INV!$B$7:$H$2575,7,0),"")</f>
        <v/>
      </c>
      <c r="N307" s="10"/>
      <c r="O307" s="10"/>
      <c r="P307" s="10"/>
      <c r="Q307" s="10"/>
      <c r="R307" s="10"/>
      <c r="S307" s="10"/>
      <c r="T307" s="10"/>
      <c r="U307" s="1">
        <f t="shared" si="16"/>
        <v>0</v>
      </c>
      <c r="V307" s="1">
        <f t="shared" si="17"/>
        <v>0</v>
      </c>
      <c r="W307" s="1">
        <f t="shared" si="18"/>
        <v>0</v>
      </c>
      <c r="X307" s="1">
        <f t="shared" si="19"/>
        <v>0</v>
      </c>
    </row>
    <row r="308" spans="2:24" x14ac:dyDescent="0.25">
      <c r="B308" s="11">
        <f>[1]code!B305</f>
        <v>188</v>
      </c>
      <c r="C308" s="2" t="str">
        <f>[1]code!C305</f>
        <v>ورق زبدة - باك ستريت</v>
      </c>
      <c r="D308" s="2" t="str">
        <f>[1]code!D305</f>
        <v>تعبئة و تغليف (باك ستريت)</v>
      </c>
      <c r="E308" s="1" t="str">
        <f>[1]code!E305</f>
        <v>حبة</v>
      </c>
      <c r="F308" s="2" t="str">
        <f>[1]code!F305</f>
        <v>المركز السعودى للطباعة</v>
      </c>
      <c r="G308" s="12">
        <f>[1]code!G305</f>
        <v>0</v>
      </c>
      <c r="I308" s="10">
        <v>0</v>
      </c>
      <c r="J308" s="10">
        <v>0</v>
      </c>
      <c r="K308" s="10">
        <v>0</v>
      </c>
      <c r="L308" s="10">
        <v>0</v>
      </c>
      <c r="M308" s="10" t="str">
        <f>IFERROR(VLOOKUP($B308,[1]INV!$B$7:$H$2575,7,0),"")</f>
        <v/>
      </c>
      <c r="N308" s="10"/>
      <c r="O308" s="10"/>
      <c r="P308" s="10"/>
      <c r="Q308" s="10"/>
      <c r="R308" s="10"/>
      <c r="S308" s="10"/>
      <c r="T308" s="10"/>
      <c r="U308" s="1">
        <f t="shared" si="16"/>
        <v>0</v>
      </c>
      <c r="V308" s="1">
        <f t="shared" si="17"/>
        <v>0</v>
      </c>
      <c r="W308" s="1">
        <f t="shared" si="18"/>
        <v>0</v>
      </c>
      <c r="X308" s="1">
        <f t="shared" si="19"/>
        <v>0</v>
      </c>
    </row>
    <row r="309" spans="2:24" x14ac:dyDescent="0.25">
      <c r="B309" s="11">
        <f>[1]code!B306</f>
        <v>507</v>
      </c>
      <c r="C309" s="2" t="str">
        <f>[1]code!C306</f>
        <v xml:space="preserve">مندیل مائدة مطبوعة </v>
      </c>
      <c r="D309" s="2" t="str">
        <f>[1]code!D306</f>
        <v>تعبئة و تغليف (باك ستريت)</v>
      </c>
      <c r="E309" s="1" t="str">
        <f>[1]code!E306</f>
        <v>حبة</v>
      </c>
      <c r="F309" s="2" t="str">
        <f>[1]code!F306</f>
        <v>الظاهرى</v>
      </c>
      <c r="G309" s="12">
        <f>[1]code!G306</f>
        <v>0</v>
      </c>
      <c r="I309" s="10">
        <v>0</v>
      </c>
      <c r="J309" s="10">
        <v>0</v>
      </c>
      <c r="K309" s="10">
        <v>0</v>
      </c>
      <c r="L309" s="10">
        <v>0</v>
      </c>
      <c r="M309" s="10" t="str">
        <f>IFERROR(VLOOKUP($B309,[1]INV!$B$7:$H$2575,7,0),"")</f>
        <v/>
      </c>
      <c r="N309" s="10"/>
      <c r="O309" s="10"/>
      <c r="P309" s="10"/>
      <c r="Q309" s="10"/>
      <c r="R309" s="10"/>
      <c r="S309" s="10"/>
      <c r="T309" s="10"/>
      <c r="U309" s="1">
        <f t="shared" si="16"/>
        <v>0</v>
      </c>
      <c r="V309" s="1">
        <f t="shared" si="17"/>
        <v>0</v>
      </c>
      <c r="W309" s="1">
        <f t="shared" si="18"/>
        <v>0</v>
      </c>
      <c r="X309" s="1">
        <f t="shared" si="19"/>
        <v>0</v>
      </c>
    </row>
    <row r="310" spans="2:24" x14ac:dyDescent="0.25">
      <c r="B310" s="11">
        <f>[1]code!B307</f>
        <v>494</v>
      </c>
      <c r="C310" s="2" t="str">
        <f>[1]code!C307</f>
        <v xml:space="preserve">مندیل معطرة مطبوعة </v>
      </c>
      <c r="D310" s="2" t="str">
        <f>[1]code!D307</f>
        <v>تعبئة و تغليف (باك ستريت)</v>
      </c>
      <c r="E310" s="1" t="str">
        <f>[1]code!E307</f>
        <v>حبه</v>
      </c>
      <c r="F310" s="2" t="str">
        <f>[1]code!F307</f>
        <v>فيرم</v>
      </c>
      <c r="G310" s="12">
        <f>[1]code!G307</f>
        <v>0</v>
      </c>
      <c r="I310" s="10">
        <v>0</v>
      </c>
      <c r="J310" s="10">
        <v>0</v>
      </c>
      <c r="K310" s="10">
        <v>0</v>
      </c>
      <c r="L310" s="10">
        <v>0</v>
      </c>
      <c r="M310" s="10" t="str">
        <f>IFERROR(VLOOKUP($B310,[1]INV!$B$7:$H$2575,7,0),"")</f>
        <v/>
      </c>
      <c r="N310" s="10"/>
      <c r="O310" s="10"/>
      <c r="P310" s="10"/>
      <c r="Q310" s="10"/>
      <c r="R310" s="10"/>
      <c r="S310" s="10"/>
      <c r="T310" s="10"/>
      <c r="U310" s="1">
        <f t="shared" si="16"/>
        <v>0</v>
      </c>
      <c r="V310" s="1">
        <f t="shared" si="17"/>
        <v>0</v>
      </c>
      <c r="W310" s="1">
        <f t="shared" si="18"/>
        <v>0</v>
      </c>
      <c r="X310" s="1">
        <f t="shared" si="19"/>
        <v>0</v>
      </c>
    </row>
    <row r="311" spans="2:24" x14ac:dyDescent="0.25">
      <c r="B311" s="11">
        <f>[1]code!B308</f>
        <v>681</v>
      </c>
      <c r="C311" s="2" t="str">
        <f>[1]code!C308</f>
        <v>شبكة شعر ذهبية</v>
      </c>
      <c r="D311" s="2" t="str">
        <f>[1]code!D308</f>
        <v>تعبئة و تغليف (باك ستريت)</v>
      </c>
      <c r="E311" s="1" t="str">
        <f>[1]code!E308</f>
        <v>حبة</v>
      </c>
      <c r="F311" s="2" t="str">
        <f>[1]code!F308</f>
        <v>مشتريات مباشرة</v>
      </c>
      <c r="G311" s="12">
        <f>[1]code!G308</f>
        <v>0</v>
      </c>
      <c r="I311" s="10">
        <v>0</v>
      </c>
      <c r="J311" s="10">
        <v>0</v>
      </c>
      <c r="K311" s="10">
        <v>0</v>
      </c>
      <c r="L311" s="10">
        <v>0</v>
      </c>
      <c r="M311" s="10" t="str">
        <f>IFERROR(VLOOKUP($B311,[1]INV!$B$7:$H$2575,7,0),"")</f>
        <v/>
      </c>
      <c r="N311" s="10"/>
      <c r="O311" s="10"/>
      <c r="P311" s="10"/>
      <c r="Q311" s="10"/>
      <c r="R311" s="10"/>
      <c r="S311" s="10"/>
      <c r="T311" s="10"/>
      <c r="U311" s="1">
        <f t="shared" si="16"/>
        <v>0</v>
      </c>
      <c r="V311" s="1">
        <f t="shared" si="17"/>
        <v>0</v>
      </c>
      <c r="W311" s="1">
        <f t="shared" si="18"/>
        <v>0</v>
      </c>
      <c r="X311" s="1">
        <f t="shared" si="19"/>
        <v>0</v>
      </c>
    </row>
    <row r="312" spans="2:24" x14ac:dyDescent="0.25">
      <c r="B312" s="11">
        <f>[1]code!B309</f>
        <v>689</v>
      </c>
      <c r="C312" s="2" t="str">
        <f>[1]code!C309</f>
        <v xml:space="preserve">منكش برجر ھوت باك صغیر </v>
      </c>
      <c r="D312" s="2" t="str">
        <f>[1]code!D309</f>
        <v>تعبئة و تغليف (باك ستريت)</v>
      </c>
      <c r="E312" s="1" t="str">
        <f>[1]code!E309</f>
        <v>حبة</v>
      </c>
      <c r="F312" s="2" t="str">
        <f>[1]code!F309</f>
        <v>هوت باك</v>
      </c>
      <c r="G312" s="12">
        <f>[1]code!G309</f>
        <v>0</v>
      </c>
      <c r="I312" s="10">
        <v>0</v>
      </c>
      <c r="J312" s="10">
        <v>0</v>
      </c>
      <c r="K312" s="10">
        <v>0</v>
      </c>
      <c r="L312" s="10">
        <v>0</v>
      </c>
      <c r="M312" s="10" t="str">
        <f>IFERROR(VLOOKUP($B312,[1]INV!$B$7:$H$2575,7,0),"")</f>
        <v/>
      </c>
      <c r="N312" s="10"/>
      <c r="O312" s="10"/>
      <c r="P312" s="10"/>
      <c r="Q312" s="10"/>
      <c r="R312" s="10"/>
      <c r="S312" s="10"/>
      <c r="T312" s="10"/>
      <c r="U312" s="1">
        <f t="shared" si="16"/>
        <v>0</v>
      </c>
      <c r="V312" s="1">
        <f t="shared" si="17"/>
        <v>0</v>
      </c>
      <c r="W312" s="1">
        <f t="shared" si="18"/>
        <v>0</v>
      </c>
      <c r="X312" s="1">
        <f t="shared" si="19"/>
        <v>0</v>
      </c>
    </row>
    <row r="313" spans="2:24" x14ac:dyDescent="0.25">
      <c r="B313" s="11">
        <f>[1]code!B310</f>
        <v>44</v>
      </c>
      <c r="C313" s="2" t="str">
        <f>[1]code!C310</f>
        <v>رول تاريخ صلاحية</v>
      </c>
      <c r="D313" s="2" t="str">
        <f>[1]code!D310</f>
        <v>أدوات مكتبية</v>
      </c>
      <c r="E313" s="1" t="str">
        <f>[1]code!E310</f>
        <v>بكت</v>
      </c>
      <c r="F313" s="2" t="str">
        <f>[1]code!F310</f>
        <v>الظاهرى</v>
      </c>
      <c r="G313" s="12">
        <f>[1]code!G310</f>
        <v>0</v>
      </c>
      <c r="I313" s="10">
        <v>0</v>
      </c>
      <c r="J313" s="10">
        <v>0</v>
      </c>
      <c r="K313" s="10">
        <v>0</v>
      </c>
      <c r="L313" s="10">
        <v>0</v>
      </c>
      <c r="M313" s="10" t="str">
        <f>IFERROR(VLOOKUP($B313,[1]INV!$B$7:$H$2575,7,0),"")</f>
        <v/>
      </c>
      <c r="N313" s="10"/>
      <c r="O313" s="10"/>
      <c r="P313" s="10"/>
      <c r="Q313" s="10"/>
      <c r="R313" s="10"/>
      <c r="S313" s="10"/>
      <c r="T313" s="10"/>
      <c r="U313" s="1">
        <f t="shared" si="16"/>
        <v>0</v>
      </c>
      <c r="V313" s="1">
        <f t="shared" si="17"/>
        <v>0</v>
      </c>
      <c r="W313" s="1">
        <f t="shared" si="18"/>
        <v>0</v>
      </c>
      <c r="X313" s="1">
        <f t="shared" si="19"/>
        <v>0</v>
      </c>
    </row>
    <row r="314" spans="2:24" x14ac:dyDescent="0.25">
      <c r="B314" s="11">
        <f>[1]code!B311</f>
        <v>74</v>
      </c>
      <c r="C314" s="2" t="str">
        <f>[1]code!C311</f>
        <v>رول كاشير</v>
      </c>
      <c r="D314" s="2" t="str">
        <f>[1]code!D311</f>
        <v>أدوات مكتبية</v>
      </c>
      <c r="E314" s="1" t="str">
        <f>[1]code!E311</f>
        <v>حبة</v>
      </c>
      <c r="F314" s="2" t="str">
        <f>[1]code!F311</f>
        <v>الظاهرى</v>
      </c>
      <c r="G314" s="12">
        <f>[1]code!G311</f>
        <v>0</v>
      </c>
      <c r="I314" s="10">
        <v>0</v>
      </c>
      <c r="J314" s="10">
        <v>0</v>
      </c>
      <c r="K314" s="10">
        <v>0</v>
      </c>
      <c r="L314" s="10">
        <v>0</v>
      </c>
      <c r="M314" s="10" t="str">
        <f>IFERROR(VLOOKUP($B314,[1]INV!$B$7:$H$2575,7,0),"")</f>
        <v/>
      </c>
      <c r="N314" s="10"/>
      <c r="O314" s="10"/>
      <c r="P314" s="10"/>
      <c r="Q314" s="10"/>
      <c r="R314" s="10"/>
      <c r="S314" s="10"/>
      <c r="T314" s="10"/>
      <c r="U314" s="1">
        <f t="shared" si="16"/>
        <v>0</v>
      </c>
      <c r="V314" s="1">
        <f t="shared" si="17"/>
        <v>0</v>
      </c>
      <c r="W314" s="1">
        <f t="shared" si="18"/>
        <v>0</v>
      </c>
      <c r="X314" s="1">
        <f t="shared" si="19"/>
        <v>0</v>
      </c>
    </row>
    <row r="315" spans="2:24" x14ac:dyDescent="0.25">
      <c r="B315" s="11">
        <f>[1]code!B312</f>
        <v>119</v>
      </c>
      <c r="C315" s="2" t="str">
        <f>[1]code!C312</f>
        <v>رول شبكة</v>
      </c>
      <c r="D315" s="2" t="str">
        <f>[1]code!D312</f>
        <v>أدوات مكتبية</v>
      </c>
      <c r="E315" s="1" t="str">
        <f>[1]code!E312</f>
        <v>حبة</v>
      </c>
      <c r="F315" s="2" t="str">
        <f>[1]code!F312</f>
        <v>الظاهرى</v>
      </c>
      <c r="G315" s="12">
        <f>[1]code!G312</f>
        <v>0</v>
      </c>
      <c r="I315" s="10">
        <v>0</v>
      </c>
      <c r="J315" s="10">
        <v>0</v>
      </c>
      <c r="K315" s="10">
        <v>0</v>
      </c>
      <c r="L315" s="10">
        <v>0</v>
      </c>
      <c r="M315" s="10" t="str">
        <f>IFERROR(VLOOKUP($B315,[1]INV!$B$7:$H$2575,7,0),"")</f>
        <v/>
      </c>
      <c r="N315" s="10"/>
      <c r="O315" s="10"/>
      <c r="P315" s="10"/>
      <c r="Q315" s="10"/>
      <c r="R315" s="10"/>
      <c r="S315" s="10"/>
      <c r="T315" s="10"/>
      <c r="U315" s="1">
        <f t="shared" si="16"/>
        <v>0</v>
      </c>
      <c r="V315" s="1">
        <f t="shared" si="17"/>
        <v>0</v>
      </c>
      <c r="W315" s="1">
        <f t="shared" si="18"/>
        <v>0</v>
      </c>
      <c r="X315" s="1">
        <f t="shared" si="19"/>
        <v>0</v>
      </c>
    </row>
    <row r="316" spans="2:24" x14ac:dyDescent="0.25">
      <c r="B316" s="11">
        <f>[1]code!B313</f>
        <v>173</v>
      </c>
      <c r="C316" s="2" t="str">
        <f>[1]code!C313</f>
        <v>سند قبض - طحينة</v>
      </c>
      <c r="D316" s="2" t="str">
        <f>[1]code!D313</f>
        <v>مطبوعات (طحينة)</v>
      </c>
      <c r="E316" s="1" t="str">
        <f>[1]code!E313</f>
        <v>حبة</v>
      </c>
      <c r="F316" s="2">
        <f>[1]code!F313</f>
        <v>0</v>
      </c>
      <c r="G316" s="12">
        <f>[1]code!G313</f>
        <v>10.5</v>
      </c>
      <c r="I316" s="10">
        <v>0</v>
      </c>
      <c r="J316" s="10">
        <v>0</v>
      </c>
      <c r="K316" s="10">
        <v>0</v>
      </c>
      <c r="L316" s="10">
        <v>0</v>
      </c>
      <c r="M316" s="10" t="str">
        <f>IFERROR(VLOOKUP($B316,[1]INV!$B$7:$H$2575,7,0),"")</f>
        <v/>
      </c>
      <c r="N316" s="10"/>
      <c r="O316" s="10"/>
      <c r="P316" s="10"/>
      <c r="Q316" s="10"/>
      <c r="R316" s="10"/>
      <c r="S316" s="10"/>
      <c r="T316" s="10"/>
      <c r="U316" s="1">
        <f t="shared" si="16"/>
        <v>0</v>
      </c>
      <c r="V316" s="1">
        <f t="shared" si="17"/>
        <v>0</v>
      </c>
      <c r="W316" s="1">
        <f t="shared" si="18"/>
        <v>0</v>
      </c>
      <c r="X316" s="1">
        <f t="shared" si="19"/>
        <v>0</v>
      </c>
    </row>
    <row r="317" spans="2:24" x14ac:dyDescent="0.25">
      <c r="B317" s="11">
        <f>[1]code!B314</f>
        <v>174</v>
      </c>
      <c r="C317" s="2" t="str">
        <f>[1]code!C314</f>
        <v>سند صرف - طحينة</v>
      </c>
      <c r="D317" s="2" t="str">
        <f>[1]code!D314</f>
        <v>مطبوعات (طحينة)</v>
      </c>
      <c r="E317" s="1" t="str">
        <f>[1]code!E314</f>
        <v>حبة</v>
      </c>
      <c r="F317" s="2">
        <f>[1]code!F314</f>
        <v>0</v>
      </c>
      <c r="G317" s="12">
        <f>[1]code!G314</f>
        <v>10.5</v>
      </c>
      <c r="I317" s="10">
        <v>0</v>
      </c>
      <c r="J317" s="10">
        <v>0</v>
      </c>
      <c r="K317" s="10">
        <v>0</v>
      </c>
      <c r="L317" s="10">
        <v>0</v>
      </c>
      <c r="M317" s="10" t="str">
        <f>IFERROR(VLOOKUP($B317,[1]INV!$B$7:$H$2575,7,0),"")</f>
        <v/>
      </c>
      <c r="N317" s="10"/>
      <c r="O317" s="10"/>
      <c r="P317" s="10"/>
      <c r="Q317" s="10"/>
      <c r="R317" s="10"/>
      <c r="S317" s="10"/>
      <c r="T317" s="10"/>
      <c r="U317" s="1">
        <f t="shared" si="16"/>
        <v>0</v>
      </c>
      <c r="V317" s="1">
        <f t="shared" si="17"/>
        <v>0</v>
      </c>
      <c r="W317" s="1">
        <f t="shared" si="18"/>
        <v>0</v>
      </c>
      <c r="X317" s="1">
        <f t="shared" si="19"/>
        <v>0</v>
      </c>
    </row>
    <row r="318" spans="2:24" x14ac:dyDescent="0.25">
      <c r="B318" s="11">
        <f>[1]code!B315</f>
        <v>190</v>
      </c>
      <c r="C318" s="2" t="str">
        <f>[1]code!C315</f>
        <v>فواحة</v>
      </c>
      <c r="D318" s="2" t="str">
        <f>[1]code!D315</f>
        <v>مطبوعات (طحينة)</v>
      </c>
      <c r="E318" s="1" t="str">
        <f>[1]code!E315</f>
        <v>حبة</v>
      </c>
      <c r="F318" s="2">
        <f>[1]code!F315</f>
        <v>0</v>
      </c>
      <c r="G318" s="12">
        <f>[1]code!G315</f>
        <v>0</v>
      </c>
      <c r="I318" s="10">
        <v>0</v>
      </c>
      <c r="J318" s="10">
        <v>0</v>
      </c>
      <c r="K318" s="10">
        <v>0</v>
      </c>
      <c r="L318" s="10">
        <v>0</v>
      </c>
      <c r="M318" s="10" t="str">
        <f>IFERROR(VLOOKUP($B318,[1]INV!$B$7:$H$2575,7,0),"")</f>
        <v/>
      </c>
      <c r="N318" s="10"/>
      <c r="O318" s="10"/>
      <c r="P318" s="10"/>
      <c r="Q318" s="10"/>
      <c r="R318" s="10"/>
      <c r="S318" s="10"/>
      <c r="T318" s="10"/>
      <c r="U318" s="1">
        <f t="shared" si="16"/>
        <v>0</v>
      </c>
      <c r="V318" s="1">
        <f t="shared" si="17"/>
        <v>0</v>
      </c>
      <c r="W318" s="1">
        <f t="shared" si="18"/>
        <v>0</v>
      </c>
      <c r="X318" s="1">
        <f t="shared" si="19"/>
        <v>0</v>
      </c>
    </row>
    <row r="319" spans="2:24" x14ac:dyDescent="0.25">
      <c r="B319" s="11">
        <f>[1]code!B316</f>
        <v>449</v>
      </c>
      <c r="C319" s="2" t="str">
        <f>[1]code!C316</f>
        <v>فواتير صرف مطبوع - طحينة</v>
      </c>
      <c r="D319" s="2" t="str">
        <f>[1]code!D316</f>
        <v>مطبوعات (طحينة)</v>
      </c>
      <c r="E319" s="1" t="str">
        <f>[1]code!E316</f>
        <v>حبة</v>
      </c>
      <c r="F319" s="2">
        <f>[1]code!F316</f>
        <v>0</v>
      </c>
      <c r="G319" s="12">
        <f>[1]code!G316</f>
        <v>7</v>
      </c>
      <c r="I319" s="10">
        <v>0</v>
      </c>
      <c r="J319" s="10">
        <v>0</v>
      </c>
      <c r="K319" s="10">
        <v>0</v>
      </c>
      <c r="L319" s="10">
        <v>0</v>
      </c>
      <c r="M319" s="10" t="str">
        <f>IFERROR(VLOOKUP($B319,[1]INV!$B$7:$H$2575,7,0),"")</f>
        <v/>
      </c>
      <c r="N319" s="10"/>
      <c r="O319" s="10"/>
      <c r="P319" s="10"/>
      <c r="Q319" s="10"/>
      <c r="R319" s="10"/>
      <c r="S319" s="10"/>
      <c r="T319" s="10"/>
      <c r="U319" s="1">
        <f t="shared" si="16"/>
        <v>0</v>
      </c>
      <c r="V319" s="1">
        <f t="shared" si="17"/>
        <v>0</v>
      </c>
      <c r="W319" s="1">
        <f t="shared" si="18"/>
        <v>0</v>
      </c>
      <c r="X319" s="1">
        <f t="shared" si="19"/>
        <v>0</v>
      </c>
    </row>
    <row r="320" spans="2:24" x14ac:dyDescent="0.25">
      <c r="B320" s="11">
        <f>[1]code!B317</f>
        <v>529</v>
      </c>
      <c r="C320" s="2" t="str">
        <f>[1]code!C317</f>
        <v>ورق بطاطس مطبوع - طحينة</v>
      </c>
      <c r="D320" s="2" t="str">
        <f>[1]code!D317</f>
        <v>مطبوعات (طحينة)</v>
      </c>
      <c r="E320" s="1" t="str">
        <f>[1]code!E317</f>
        <v>حبة</v>
      </c>
      <c r="F320" s="2">
        <f>[1]code!F317</f>
        <v>0</v>
      </c>
      <c r="G320" s="12">
        <f>[1]code!G317</f>
        <v>0</v>
      </c>
      <c r="I320" s="10">
        <v>0</v>
      </c>
      <c r="J320" s="10">
        <v>0</v>
      </c>
      <c r="K320" s="10">
        <v>0</v>
      </c>
      <c r="L320" s="10">
        <v>0</v>
      </c>
      <c r="M320" s="10" t="str">
        <f>IFERROR(VLOOKUP($B320,[1]INV!$B$7:$H$2575,7,0),"")</f>
        <v/>
      </c>
      <c r="N320" s="10"/>
      <c r="O320" s="10"/>
      <c r="P320" s="10"/>
      <c r="Q320" s="10"/>
      <c r="R320" s="10"/>
      <c r="S320" s="10"/>
      <c r="T320" s="10"/>
      <c r="U320" s="1">
        <f t="shared" si="16"/>
        <v>0</v>
      </c>
      <c r="V320" s="1">
        <f t="shared" si="17"/>
        <v>0</v>
      </c>
      <c r="W320" s="1">
        <f t="shared" si="18"/>
        <v>0</v>
      </c>
      <c r="X320" s="1">
        <f t="shared" si="19"/>
        <v>0</v>
      </c>
    </row>
    <row r="321" spans="2:24" x14ac:dyDescent="0.25">
      <c r="B321" s="11">
        <f>[1]code!B318</f>
        <v>619</v>
      </c>
      <c r="C321" s="2" t="str">
        <f>[1]code!C318</f>
        <v>ملصقات طحينة</v>
      </c>
      <c r="D321" s="2" t="str">
        <f>[1]code!D318</f>
        <v>مطبوعات (طحينة)</v>
      </c>
      <c r="E321" s="1" t="str">
        <f>[1]code!E318</f>
        <v>حبة</v>
      </c>
      <c r="F321" s="2">
        <f>[1]code!F318</f>
        <v>0</v>
      </c>
      <c r="G321" s="12">
        <f>[1]code!G318</f>
        <v>3.4499999999999996E-2</v>
      </c>
      <c r="I321" s="10">
        <v>0</v>
      </c>
      <c r="J321" s="10">
        <v>0</v>
      </c>
      <c r="K321" s="10">
        <v>0</v>
      </c>
      <c r="L321" s="10">
        <v>0</v>
      </c>
      <c r="M321" s="10" t="str">
        <f>IFERROR(VLOOKUP($B321,[1]INV!$B$7:$H$2575,7,0),"")</f>
        <v/>
      </c>
      <c r="N321" s="10"/>
      <c r="O321" s="10"/>
      <c r="P321" s="10"/>
      <c r="Q321" s="10"/>
      <c r="R321" s="10"/>
      <c r="S321" s="10"/>
      <c r="T321" s="10"/>
      <c r="U321" s="1">
        <f t="shared" si="16"/>
        <v>0</v>
      </c>
      <c r="V321" s="1">
        <f t="shared" si="17"/>
        <v>0</v>
      </c>
      <c r="W321" s="1">
        <f t="shared" si="18"/>
        <v>0</v>
      </c>
      <c r="X321" s="1">
        <f t="shared" si="19"/>
        <v>0</v>
      </c>
    </row>
    <row r="322" spans="2:24" x14ac:dyDescent="0.25">
      <c r="B322" s="11">
        <f>[1]code!B319</f>
        <v>22</v>
      </c>
      <c r="C322" s="2" t="str">
        <f>[1]code!C319</f>
        <v>بوكسات مطبوعة</v>
      </c>
      <c r="D322" s="2" t="str">
        <f>[1]code!D319</f>
        <v>مطبوعات (طحينة)</v>
      </c>
      <c r="E322" s="1" t="str">
        <f>[1]code!E319</f>
        <v>حبة</v>
      </c>
      <c r="F322" s="2" t="str">
        <f>[1]code!F319</f>
        <v>لامينا</v>
      </c>
      <c r="G322" s="12">
        <f>[1]code!G319</f>
        <v>0.4</v>
      </c>
      <c r="I322" s="10">
        <v>0.4</v>
      </c>
      <c r="J322" s="10">
        <v>0.40250000000000002</v>
      </c>
      <c r="K322" s="10">
        <v>0.40250000000000002</v>
      </c>
      <c r="L322" s="10">
        <v>0.40250000000000002</v>
      </c>
      <c r="M322" s="10">
        <f>IFERROR(VLOOKUP($B322,[1]INV!$B$7:$H$2575,7,0),"")</f>
        <v>0.69</v>
      </c>
      <c r="N322" s="10"/>
      <c r="O322" s="10"/>
      <c r="P322" s="10"/>
      <c r="Q322" s="10"/>
      <c r="R322" s="10"/>
      <c r="S322" s="10"/>
      <c r="T322" s="10"/>
      <c r="U322" s="1">
        <f t="shared" si="16"/>
        <v>0.4</v>
      </c>
      <c r="V322" s="1">
        <f t="shared" si="17"/>
        <v>0.40250000000000002</v>
      </c>
      <c r="W322" s="1">
        <f t="shared" si="18"/>
        <v>0.40250000000000002</v>
      </c>
      <c r="X322" s="1">
        <f t="shared" si="19"/>
        <v>0.40250000000000002</v>
      </c>
    </row>
    <row r="323" spans="2:24" x14ac:dyDescent="0.25">
      <c r="B323" s="11">
        <f>[1]code!B320</f>
        <v>27</v>
      </c>
      <c r="C323" s="2" t="str">
        <f>[1]code!C320</f>
        <v>أكياس كولا بلاستيك</v>
      </c>
      <c r="D323" s="2" t="str">
        <f>[1]code!D320</f>
        <v>مطبوعات (طحينة)</v>
      </c>
      <c r="E323" s="1" t="str">
        <f>[1]code!E320</f>
        <v>كيلو</v>
      </c>
      <c r="F323" s="2" t="str">
        <f>[1]code!F320</f>
        <v>مصنع عبدالله الزهراني</v>
      </c>
      <c r="G323" s="12">
        <f>[1]code!G320</f>
        <v>7.5094999999999992</v>
      </c>
      <c r="I323" s="10">
        <v>7.5094999999999992</v>
      </c>
      <c r="J323" s="10">
        <v>7.5094999999999992</v>
      </c>
      <c r="K323" s="10">
        <v>7.5094999999999992</v>
      </c>
      <c r="L323" s="10">
        <v>7.5094999999999992</v>
      </c>
      <c r="M323" s="10" t="str">
        <f>IFERROR(VLOOKUP($B323,[1]INV!$B$7:$H$2575,7,0),"")</f>
        <v/>
      </c>
      <c r="N323" s="10"/>
      <c r="O323" s="10"/>
      <c r="P323" s="10"/>
      <c r="Q323" s="10"/>
      <c r="R323" s="10"/>
      <c r="S323" s="10"/>
      <c r="T323" s="10"/>
      <c r="U323" s="1">
        <f t="shared" si="16"/>
        <v>7.5094999999999992</v>
      </c>
      <c r="V323" s="1">
        <f t="shared" si="17"/>
        <v>7.5094999999999992</v>
      </c>
      <c r="W323" s="1">
        <f t="shared" si="18"/>
        <v>7.5094999999999992</v>
      </c>
      <c r="X323" s="1">
        <f t="shared" si="19"/>
        <v>7.5094999999999992</v>
      </c>
    </row>
    <row r="324" spans="2:24" x14ac:dyDescent="0.25">
      <c r="B324" s="11">
        <f>[1]code!B321</f>
        <v>179</v>
      </c>
      <c r="C324" s="2" t="str">
        <f>[1]code!C321</f>
        <v>شنطة بلاستيك مطبوع</v>
      </c>
      <c r="D324" s="2" t="str">
        <f>[1]code!D321</f>
        <v>مطبوعات (طحينة)</v>
      </c>
      <c r="E324" s="1" t="str">
        <f>[1]code!E321</f>
        <v>كيلو</v>
      </c>
      <c r="F324" s="2" t="str">
        <f>[1]code!F321</f>
        <v>مصنع عبدالله الزهراني</v>
      </c>
      <c r="G324" s="12">
        <f>[1]code!G321</f>
        <v>7.51</v>
      </c>
      <c r="I324" s="10">
        <v>0</v>
      </c>
      <c r="J324" s="10">
        <v>0</v>
      </c>
      <c r="K324" s="10">
        <v>0</v>
      </c>
      <c r="L324" s="10">
        <v>0</v>
      </c>
      <c r="M324" s="10" t="str">
        <f>IFERROR(VLOOKUP($B324,[1]INV!$B$7:$H$2575,7,0),"")</f>
        <v/>
      </c>
      <c r="N324" s="10"/>
      <c r="O324" s="10"/>
      <c r="P324" s="10"/>
      <c r="Q324" s="10"/>
      <c r="R324" s="10"/>
      <c r="S324" s="10"/>
      <c r="T324" s="10"/>
      <c r="U324" s="1">
        <f t="shared" si="16"/>
        <v>0</v>
      </c>
      <c r="V324" s="1">
        <f t="shared" si="17"/>
        <v>0</v>
      </c>
      <c r="W324" s="1">
        <f t="shared" si="18"/>
        <v>0</v>
      </c>
      <c r="X324" s="1">
        <f t="shared" si="19"/>
        <v>0</v>
      </c>
    </row>
    <row r="325" spans="2:24" x14ac:dyDescent="0.25">
      <c r="B325" s="11">
        <f>[1]code!B322</f>
        <v>153</v>
      </c>
      <c r="C325" s="2" t="str">
        <f>[1]code!C322</f>
        <v>مناديل سفرة مطبوع</v>
      </c>
      <c r="D325" s="2" t="str">
        <f>[1]code!D322</f>
        <v>مطبوعات (طحينة)</v>
      </c>
      <c r="E325" s="1" t="str">
        <f>[1]code!E322</f>
        <v>حبة</v>
      </c>
      <c r="F325" s="2" t="str">
        <f>[1]code!F322</f>
        <v>الظاهرى</v>
      </c>
      <c r="G325" s="12">
        <f>[1]code!G322</f>
        <v>1.6962499999999998E-2</v>
      </c>
      <c r="I325" s="10">
        <v>1.6962499999999998E-2</v>
      </c>
      <c r="J325" s="10">
        <v>1.58125E-2</v>
      </c>
      <c r="K325" s="10">
        <v>1.58125E-2</v>
      </c>
      <c r="L325" s="10">
        <v>1.58125E-2</v>
      </c>
      <c r="M325" s="10">
        <f>IFERROR(VLOOKUP($B325,[1]INV!$B$7:$H$2575,7,0),"")</f>
        <v>1.58125E-2</v>
      </c>
      <c r="N325" s="10"/>
      <c r="O325" s="10"/>
      <c r="P325" s="10"/>
      <c r="Q325" s="10"/>
      <c r="R325" s="10"/>
      <c r="S325" s="10"/>
      <c r="T325" s="10"/>
      <c r="U325" s="1">
        <f t="shared" si="16"/>
        <v>1.6962499999999998E-2</v>
      </c>
      <c r="V325" s="1">
        <f t="shared" si="17"/>
        <v>1.58125E-2</v>
      </c>
      <c r="W325" s="1">
        <f t="shared" si="18"/>
        <v>1.58125E-2</v>
      </c>
      <c r="X325" s="1">
        <f t="shared" si="19"/>
        <v>1.58125E-2</v>
      </c>
    </row>
    <row r="326" spans="2:24" x14ac:dyDescent="0.25">
      <c r="B326" s="11">
        <f>[1]code!B323</f>
        <v>21</v>
      </c>
      <c r="C326" s="2" t="str">
        <f>[1]code!C323</f>
        <v>ظرف سندوتش صغير</v>
      </c>
      <c r="D326" s="2" t="str">
        <f>[1]code!D323</f>
        <v>مطبوعات (طحينة)</v>
      </c>
      <c r="E326" s="1" t="str">
        <f>[1]code!E323</f>
        <v>حبة</v>
      </c>
      <c r="F326" s="2" t="str">
        <f>[1]code!F323</f>
        <v>المركز السعودى للطباعة</v>
      </c>
      <c r="G326" s="12">
        <f>[1]code!G323</f>
        <v>0.13799999999999998</v>
      </c>
      <c r="I326" s="10">
        <v>0</v>
      </c>
      <c r="J326" s="10">
        <v>0</v>
      </c>
      <c r="K326" s="10">
        <v>0</v>
      </c>
      <c r="L326" s="10">
        <v>0.115</v>
      </c>
      <c r="M326" s="10" t="str">
        <f>IFERROR(VLOOKUP($B326,[1]INV!$B$7:$H$2575,7,0),"")</f>
        <v/>
      </c>
      <c r="N326" s="10"/>
      <c r="O326" s="10"/>
      <c r="P326" s="10"/>
      <c r="Q326" s="10"/>
      <c r="R326" s="10"/>
      <c r="S326" s="10"/>
      <c r="T326" s="10"/>
      <c r="U326" s="1">
        <f t="shared" si="16"/>
        <v>0</v>
      </c>
      <c r="V326" s="1">
        <f t="shared" si="17"/>
        <v>0</v>
      </c>
      <c r="W326" s="1">
        <f t="shared" si="18"/>
        <v>0</v>
      </c>
      <c r="X326" s="1">
        <f t="shared" si="19"/>
        <v>0.115</v>
      </c>
    </row>
    <row r="327" spans="2:24" x14ac:dyDescent="0.25">
      <c r="B327" s="11">
        <f>[1]code!B324</f>
        <v>112</v>
      </c>
      <c r="C327" s="2" t="str">
        <f>[1]code!C324</f>
        <v>ورق سندوتش مطبوع</v>
      </c>
      <c r="D327" s="2" t="str">
        <f>[1]code!D324</f>
        <v>مطبوعات (طحينة)</v>
      </c>
      <c r="E327" s="1" t="str">
        <f>[1]code!E324</f>
        <v>حبة</v>
      </c>
      <c r="F327" s="2" t="str">
        <f>[1]code!F324</f>
        <v>المركز السعودى للطباعة</v>
      </c>
      <c r="G327" s="12">
        <f>[1]code!G324</f>
        <v>8.0500000000000016E-2</v>
      </c>
      <c r="I327" s="10">
        <v>0</v>
      </c>
      <c r="J327" s="10">
        <v>0</v>
      </c>
      <c r="K327" s="10">
        <v>0</v>
      </c>
      <c r="L327" s="10">
        <v>0</v>
      </c>
      <c r="M327" s="10" t="str">
        <f>IFERROR(VLOOKUP($B327,[1]INV!$B$7:$H$2575,7,0),"")</f>
        <v/>
      </c>
      <c r="N327" s="10"/>
      <c r="O327" s="10"/>
      <c r="P327" s="10"/>
      <c r="Q327" s="10"/>
      <c r="R327" s="10"/>
      <c r="S327" s="10"/>
      <c r="T327" s="10"/>
      <c r="U327" s="1">
        <f t="shared" si="16"/>
        <v>0</v>
      </c>
      <c r="V327" s="1">
        <f t="shared" si="17"/>
        <v>0</v>
      </c>
      <c r="W327" s="1">
        <f t="shared" si="18"/>
        <v>0</v>
      </c>
      <c r="X327" s="1">
        <f t="shared" si="19"/>
        <v>0</v>
      </c>
    </row>
    <row r="328" spans="2:24" x14ac:dyDescent="0.25">
      <c r="B328" s="11">
        <f>[1]code!B325</f>
        <v>627</v>
      </c>
      <c r="C328" s="2" t="str">
        <f>[1]code!C325</f>
        <v>ورق زبدة للبوكسات</v>
      </c>
      <c r="D328" s="2" t="str">
        <f>[1]code!D325</f>
        <v>مطبوعات (طحينة)</v>
      </c>
      <c r="E328" s="1" t="str">
        <f>[1]code!E325</f>
        <v>حبة</v>
      </c>
      <c r="F328" s="2" t="str">
        <f>[1]code!F325</f>
        <v>المركز السعودى للطباعة</v>
      </c>
      <c r="G328" s="12">
        <f>[1]code!G325</f>
        <v>0.06</v>
      </c>
      <c r="I328" s="10">
        <v>0.06</v>
      </c>
      <c r="J328" s="10">
        <v>5.7500000000000002E-2</v>
      </c>
      <c r="K328" s="10">
        <v>5.7500000000000002E-2</v>
      </c>
      <c r="L328" s="10">
        <v>4.0250000000000001E-2</v>
      </c>
      <c r="M328" s="10" t="str">
        <f>IFERROR(VLOOKUP($B328,[1]INV!$B$7:$H$2575,7,0),"")</f>
        <v/>
      </c>
      <c r="N328" s="10"/>
      <c r="O328" s="10"/>
      <c r="P328" s="10"/>
      <c r="Q328" s="10"/>
      <c r="R328" s="10"/>
      <c r="S328" s="10"/>
      <c r="T328" s="10"/>
      <c r="U328" s="1">
        <f t="shared" ref="U328:U391" si="20">IF($I328="",$G328,$I328)</f>
        <v>0.06</v>
      </c>
      <c r="V328" s="1">
        <f t="shared" ref="V328:V391" si="21">IF($J328="",$I328,$J328)</f>
        <v>5.7500000000000002E-2</v>
      </c>
      <c r="W328" s="1">
        <f t="shared" ref="W328:W391" si="22">IF($K328="",$J328,$K328)</f>
        <v>5.7500000000000002E-2</v>
      </c>
      <c r="X328" s="1">
        <f t="shared" ref="X328:X391" si="23">IF($L328="",$K328,$L328)</f>
        <v>4.0250000000000001E-2</v>
      </c>
    </row>
    <row r="329" spans="2:24" x14ac:dyDescent="0.25">
      <c r="B329" s="11">
        <f>[1]code!B326</f>
        <v>15</v>
      </c>
      <c r="C329" s="2" t="str">
        <f>[1]code!C326</f>
        <v>مناديل معطرة مطبوع - طحينة</v>
      </c>
      <c r="D329" s="2" t="str">
        <f>[1]code!D326</f>
        <v>مطبوعات (طحينة)</v>
      </c>
      <c r="E329" s="1" t="str">
        <f>[1]code!E326</f>
        <v>حبة</v>
      </c>
      <c r="F329" s="2" t="str">
        <f>[1]code!F326</f>
        <v>فيرم</v>
      </c>
      <c r="G329" s="12">
        <f>[1]code!G326</f>
        <v>0.11</v>
      </c>
      <c r="I329" s="10">
        <v>0.11</v>
      </c>
      <c r="J329" s="10">
        <v>0.10925</v>
      </c>
      <c r="K329" s="10">
        <v>0.10925</v>
      </c>
      <c r="L329" s="10">
        <v>0.10349999999999999</v>
      </c>
      <c r="M329" s="10" t="str">
        <f>IFERROR(VLOOKUP($B329,[1]INV!$B$7:$H$2575,7,0),"")</f>
        <v/>
      </c>
      <c r="N329" s="10"/>
      <c r="O329" s="10"/>
      <c r="P329" s="10"/>
      <c r="Q329" s="10"/>
      <c r="R329" s="10"/>
      <c r="S329" s="10"/>
      <c r="T329" s="10"/>
      <c r="U329" s="1">
        <f t="shared" si="20"/>
        <v>0.11</v>
      </c>
      <c r="V329" s="1">
        <f t="shared" si="21"/>
        <v>0.10925</v>
      </c>
      <c r="W329" s="1">
        <f t="shared" si="22"/>
        <v>0.10925</v>
      </c>
      <c r="X329" s="1">
        <f t="shared" si="23"/>
        <v>0.10349999999999999</v>
      </c>
    </row>
    <row r="330" spans="2:24" x14ac:dyDescent="0.25">
      <c r="B330" s="11">
        <f>[1]code!B327</f>
        <v>186</v>
      </c>
      <c r="C330" s="2" t="str">
        <f>[1]code!C327</f>
        <v>دفتر جرد للفروع</v>
      </c>
      <c r="D330" s="2" t="str">
        <f>[1]code!D327</f>
        <v>مطبوعات (طحينة)</v>
      </c>
      <c r="E330" s="1" t="str">
        <f>[1]code!E327</f>
        <v>حبة</v>
      </c>
      <c r="F330" s="2">
        <f>[1]code!F327</f>
        <v>0</v>
      </c>
      <c r="G330" s="12">
        <f>[1]code!G327</f>
        <v>15.481</v>
      </c>
      <c r="I330" s="10">
        <v>0</v>
      </c>
      <c r="J330" s="10">
        <v>0</v>
      </c>
      <c r="K330" s="10">
        <v>0</v>
      </c>
      <c r="L330" s="10">
        <v>0</v>
      </c>
      <c r="M330" s="10" t="str">
        <f>IFERROR(VLOOKUP($B330,[1]INV!$B$7:$H$2575,7,0),"")</f>
        <v/>
      </c>
      <c r="N330" s="10"/>
      <c r="O330" s="10"/>
      <c r="P330" s="10"/>
      <c r="Q330" s="10"/>
      <c r="R330" s="10"/>
      <c r="S330" s="10"/>
      <c r="T330" s="10"/>
      <c r="U330" s="1">
        <f t="shared" si="20"/>
        <v>0</v>
      </c>
      <c r="V330" s="1">
        <f t="shared" si="21"/>
        <v>0</v>
      </c>
      <c r="W330" s="1">
        <f t="shared" si="22"/>
        <v>0</v>
      </c>
      <c r="X330" s="1">
        <f t="shared" si="23"/>
        <v>0</v>
      </c>
    </row>
    <row r="331" spans="2:24" x14ac:dyDescent="0.25">
      <c r="B331" s="11">
        <f>[1]code!B328</f>
        <v>151</v>
      </c>
      <c r="C331" s="2" t="str">
        <f>[1]code!C328</f>
        <v>دفتر تقرير نقدية</v>
      </c>
      <c r="D331" s="2" t="str">
        <f>[1]code!D328</f>
        <v>مطبوعات (طحينة)</v>
      </c>
      <c r="E331" s="1" t="str">
        <f>[1]code!E328</f>
        <v>حبة</v>
      </c>
      <c r="F331" s="2">
        <f>[1]code!F328</f>
        <v>0</v>
      </c>
      <c r="G331" s="12">
        <f>[1]code!G328</f>
        <v>16.585999999999999</v>
      </c>
      <c r="I331" s="10">
        <v>0</v>
      </c>
      <c r="J331" s="10">
        <v>0</v>
      </c>
      <c r="K331" s="10">
        <v>0</v>
      </c>
      <c r="L331" s="10">
        <v>0</v>
      </c>
      <c r="M331" s="10" t="str">
        <f>IFERROR(VLOOKUP($B331,[1]INV!$B$7:$H$2575,7,0),"")</f>
        <v/>
      </c>
      <c r="N331" s="10"/>
      <c r="O331" s="10"/>
      <c r="P331" s="10"/>
      <c r="Q331" s="10"/>
      <c r="R331" s="10"/>
      <c r="S331" s="10"/>
      <c r="T331" s="10"/>
      <c r="U331" s="1">
        <f t="shared" si="20"/>
        <v>0</v>
      </c>
      <c r="V331" s="1">
        <f t="shared" si="21"/>
        <v>0</v>
      </c>
      <c r="W331" s="1">
        <f t="shared" si="22"/>
        <v>0</v>
      </c>
      <c r="X331" s="1">
        <f t="shared" si="23"/>
        <v>0</v>
      </c>
    </row>
    <row r="332" spans="2:24" x14ac:dyDescent="0.25">
      <c r="B332" s="11">
        <f>[1]code!B329</f>
        <v>141</v>
      </c>
      <c r="C332" s="2" t="str">
        <f>[1]code!C329</f>
        <v>دفتر أذن - طحينة</v>
      </c>
      <c r="D332" s="2" t="str">
        <f>[1]code!D329</f>
        <v>مطبوعات (طحينة)</v>
      </c>
      <c r="E332" s="1" t="str">
        <f>[1]code!E329</f>
        <v>حبة</v>
      </c>
      <c r="F332" s="2">
        <f>[1]code!F329</f>
        <v>0</v>
      </c>
      <c r="G332" s="12">
        <f>[1]code!G329</f>
        <v>6.6</v>
      </c>
      <c r="I332" s="10">
        <v>0</v>
      </c>
      <c r="J332" s="10">
        <v>0</v>
      </c>
      <c r="K332" s="10">
        <v>0</v>
      </c>
      <c r="L332" s="10">
        <v>0</v>
      </c>
      <c r="M332" s="10" t="str">
        <f>IFERROR(VLOOKUP($B332,[1]INV!$B$7:$H$2575,7,0),"")</f>
        <v/>
      </c>
      <c r="N332" s="10"/>
      <c r="O332" s="10"/>
      <c r="P332" s="10"/>
      <c r="Q332" s="10"/>
      <c r="R332" s="10"/>
      <c r="S332" s="10"/>
      <c r="T332" s="10"/>
      <c r="U332" s="1">
        <f t="shared" si="20"/>
        <v>0</v>
      </c>
      <c r="V332" s="1">
        <f t="shared" si="21"/>
        <v>0</v>
      </c>
      <c r="W332" s="1">
        <f t="shared" si="22"/>
        <v>0</v>
      </c>
      <c r="X332" s="1">
        <f t="shared" si="23"/>
        <v>0</v>
      </c>
    </row>
    <row r="333" spans="2:24" x14ac:dyDescent="0.25">
      <c r="B333" s="11">
        <f>[1]code!B330</f>
        <v>142</v>
      </c>
      <c r="C333" s="2" t="str">
        <f>[1]code!C330</f>
        <v>دفتر مصنعات</v>
      </c>
      <c r="D333" s="2" t="str">
        <f>[1]code!D330</f>
        <v>مطبوعات (طحينة)</v>
      </c>
      <c r="E333" s="1" t="str">
        <f>[1]code!E330</f>
        <v>حبة</v>
      </c>
      <c r="F333" s="2">
        <f>[1]code!F330</f>
        <v>0</v>
      </c>
      <c r="G333" s="12">
        <f>[1]code!G330</f>
        <v>6.6</v>
      </c>
      <c r="I333" s="10">
        <v>0</v>
      </c>
      <c r="J333" s="10">
        <v>0</v>
      </c>
      <c r="K333" s="10">
        <v>0</v>
      </c>
      <c r="L333" s="10">
        <v>0</v>
      </c>
      <c r="M333" s="10" t="str">
        <f>IFERROR(VLOOKUP($B333,[1]INV!$B$7:$H$2575,7,0),"")</f>
        <v/>
      </c>
      <c r="N333" s="10"/>
      <c r="O333" s="10"/>
      <c r="P333" s="10"/>
      <c r="Q333" s="10"/>
      <c r="R333" s="10"/>
      <c r="S333" s="10"/>
      <c r="T333" s="10"/>
      <c r="U333" s="1">
        <f t="shared" si="20"/>
        <v>0</v>
      </c>
      <c r="V333" s="1">
        <f t="shared" si="21"/>
        <v>0</v>
      </c>
      <c r="W333" s="1">
        <f t="shared" si="22"/>
        <v>0</v>
      </c>
      <c r="X333" s="1">
        <f t="shared" si="23"/>
        <v>0</v>
      </c>
    </row>
    <row r="334" spans="2:24" x14ac:dyDescent="0.25">
      <c r="B334" s="11">
        <f>[1]code!B331</f>
        <v>76</v>
      </c>
      <c r="C334" s="2" t="str">
        <f>[1]code!C331</f>
        <v>استكر تاريخ صلاحية أبيض</v>
      </c>
      <c r="D334" s="2" t="str">
        <f>[1]code!D331</f>
        <v>مطبوعات (طحينة)</v>
      </c>
      <c r="E334" s="1" t="str">
        <f>[1]code!E331</f>
        <v>حبة</v>
      </c>
      <c r="F334" s="2">
        <f>[1]code!F331</f>
        <v>0</v>
      </c>
      <c r="G334" s="12">
        <f>[1]code!G331</f>
        <v>0.28559999999999997</v>
      </c>
      <c r="I334" s="10">
        <v>0</v>
      </c>
      <c r="J334" s="10">
        <v>0</v>
      </c>
      <c r="K334" s="10">
        <v>0</v>
      </c>
      <c r="L334" s="10">
        <v>0</v>
      </c>
      <c r="M334" s="10" t="str">
        <f>IFERROR(VLOOKUP($B334,[1]INV!$B$7:$H$2575,7,0),"")</f>
        <v/>
      </c>
      <c r="N334" s="10"/>
      <c r="O334" s="10"/>
      <c r="P334" s="10"/>
      <c r="Q334" s="10"/>
      <c r="R334" s="10"/>
      <c r="S334" s="10"/>
      <c r="T334" s="10"/>
      <c r="U334" s="1">
        <f t="shared" si="20"/>
        <v>0</v>
      </c>
      <c r="V334" s="1">
        <f t="shared" si="21"/>
        <v>0</v>
      </c>
      <c r="W334" s="1">
        <f t="shared" si="22"/>
        <v>0</v>
      </c>
      <c r="X334" s="1">
        <f t="shared" si="23"/>
        <v>0</v>
      </c>
    </row>
    <row r="335" spans="2:24" x14ac:dyDescent="0.25">
      <c r="B335" s="11">
        <f>[1]code!B332</f>
        <v>162</v>
      </c>
      <c r="C335" s="2" t="str">
        <f>[1]code!C332</f>
        <v>استكر تاريخ صلاحية أحمر</v>
      </c>
      <c r="D335" s="2" t="str">
        <f>[1]code!D332</f>
        <v>مطبوعات (طحينة)</v>
      </c>
      <c r="E335" s="1" t="str">
        <f>[1]code!E332</f>
        <v>حبة</v>
      </c>
      <c r="F335" s="2">
        <f>[1]code!F332</f>
        <v>0</v>
      </c>
      <c r="G335" s="12">
        <f>[1]code!G332</f>
        <v>7.0000000000000007E-2</v>
      </c>
      <c r="I335" s="10">
        <v>0</v>
      </c>
      <c r="J335" s="10">
        <v>0</v>
      </c>
      <c r="K335" s="10">
        <v>0</v>
      </c>
      <c r="L335" s="10">
        <v>0</v>
      </c>
      <c r="M335" s="10" t="str">
        <f>IFERROR(VLOOKUP($B335,[1]INV!$B$7:$H$2575,7,0),"")</f>
        <v/>
      </c>
      <c r="N335" s="10"/>
      <c r="O335" s="10"/>
      <c r="P335" s="10"/>
      <c r="Q335" s="10"/>
      <c r="R335" s="10"/>
      <c r="S335" s="10"/>
      <c r="T335" s="10"/>
      <c r="U335" s="1">
        <f t="shared" si="20"/>
        <v>0</v>
      </c>
      <c r="V335" s="1">
        <f t="shared" si="21"/>
        <v>0</v>
      </c>
      <c r="W335" s="1">
        <f t="shared" si="22"/>
        <v>0</v>
      </c>
      <c r="X335" s="1">
        <f t="shared" si="23"/>
        <v>0</v>
      </c>
    </row>
    <row r="336" spans="2:24" x14ac:dyDescent="0.25">
      <c r="B336" s="11">
        <f>[1]code!B333</f>
        <v>113</v>
      </c>
      <c r="C336" s="2" t="str">
        <f>[1]code!C333</f>
        <v>سفرة الجريدة</v>
      </c>
      <c r="D336" s="2" t="str">
        <f>[1]code!D333</f>
        <v>مطبوعات (طحينة)</v>
      </c>
      <c r="E336" s="1" t="str">
        <f>[1]code!E333</f>
        <v>حبة</v>
      </c>
      <c r="F336" s="2" t="str">
        <f>[1]code!F333</f>
        <v>المركز السعودى للطباعة</v>
      </c>
      <c r="G336" s="12">
        <f>[1]code!G333</f>
        <v>6.9000000000000006E-2</v>
      </c>
      <c r="I336" s="10">
        <v>0</v>
      </c>
      <c r="J336" s="10">
        <v>6.9000000000000006E-2</v>
      </c>
      <c r="K336" s="10">
        <v>6.9000000000000006E-2</v>
      </c>
      <c r="L336" s="10">
        <v>6.9000000000000006E-2</v>
      </c>
      <c r="M336" s="10" t="str">
        <f>IFERROR(VLOOKUP($B336,[1]INV!$B$7:$H$2575,7,0),"")</f>
        <v/>
      </c>
      <c r="N336" s="10"/>
      <c r="O336" s="10"/>
      <c r="P336" s="10"/>
      <c r="Q336" s="10"/>
      <c r="R336" s="10"/>
      <c r="S336" s="10"/>
      <c r="T336" s="10"/>
      <c r="U336" s="1">
        <f t="shared" si="20"/>
        <v>0</v>
      </c>
      <c r="V336" s="1">
        <f t="shared" si="21"/>
        <v>6.9000000000000006E-2</v>
      </c>
      <c r="W336" s="1">
        <f t="shared" si="22"/>
        <v>6.9000000000000006E-2</v>
      </c>
      <c r="X336" s="1">
        <f t="shared" si="23"/>
        <v>6.9000000000000006E-2</v>
      </c>
    </row>
    <row r="337" spans="2:24" x14ac:dyDescent="0.25">
      <c r="B337" s="11">
        <f>[1]code!B334</f>
        <v>498</v>
      </c>
      <c r="C337" s="2" t="str">
        <f>[1]code!C334</f>
        <v>ملصقات أرز بلبن</v>
      </c>
      <c r="D337" s="2" t="str">
        <f>[1]code!D334</f>
        <v>مطبوعات (طحينة)</v>
      </c>
      <c r="E337" s="1" t="str">
        <f>[1]code!E334</f>
        <v>حبة</v>
      </c>
      <c r="F337" s="2">
        <f>[1]code!F334</f>
        <v>0</v>
      </c>
      <c r="G337" s="12">
        <f>[1]code!G334</f>
        <v>0.14000000000000001</v>
      </c>
      <c r="I337" s="10">
        <v>0</v>
      </c>
      <c r="J337" s="10">
        <v>0</v>
      </c>
      <c r="K337" s="10">
        <v>0</v>
      </c>
      <c r="L337" s="10">
        <v>0</v>
      </c>
      <c r="M337" s="10" t="str">
        <f>IFERROR(VLOOKUP($B337,[1]INV!$B$7:$H$2575,7,0),"")</f>
        <v/>
      </c>
      <c r="N337" s="10"/>
      <c r="O337" s="10"/>
      <c r="P337" s="10"/>
      <c r="Q337" s="10"/>
      <c r="R337" s="10"/>
      <c r="S337" s="10"/>
      <c r="T337" s="10"/>
      <c r="U337" s="1">
        <f t="shared" si="20"/>
        <v>0</v>
      </c>
      <c r="V337" s="1">
        <f t="shared" si="21"/>
        <v>0</v>
      </c>
      <c r="W337" s="1">
        <f t="shared" si="22"/>
        <v>0</v>
      </c>
      <c r="X337" s="1">
        <f t="shared" si="23"/>
        <v>0</v>
      </c>
    </row>
    <row r="338" spans="2:24" x14ac:dyDescent="0.25">
      <c r="B338" s="11">
        <f>[1]code!B335</f>
        <v>610</v>
      </c>
      <c r="C338" s="2" t="str">
        <f>[1]code!C335</f>
        <v>بوكسات مطبوعة كبير 60 سم</v>
      </c>
      <c r="D338" s="2" t="str">
        <f>[1]code!D335</f>
        <v>مطبوعات (طحينة)</v>
      </c>
      <c r="E338" s="1" t="str">
        <f>[1]code!E335</f>
        <v>حبة</v>
      </c>
      <c r="F338" s="2" t="str">
        <f>[1]code!F335</f>
        <v>لامينا</v>
      </c>
      <c r="G338" s="12">
        <f>[1]code!G335</f>
        <v>1.2649999999999999</v>
      </c>
      <c r="I338" s="10">
        <v>0</v>
      </c>
      <c r="J338" s="10">
        <v>0</v>
      </c>
      <c r="K338" s="10">
        <v>0</v>
      </c>
      <c r="L338" s="10">
        <v>0</v>
      </c>
      <c r="M338" s="10" t="str">
        <f>IFERROR(VLOOKUP($B338,[1]INV!$B$7:$H$2575,7,0),"")</f>
        <v/>
      </c>
      <c r="N338" s="10"/>
      <c r="O338" s="10"/>
      <c r="P338" s="10"/>
      <c r="Q338" s="10"/>
      <c r="R338" s="10"/>
      <c r="S338" s="10"/>
      <c r="T338" s="10"/>
      <c r="U338" s="1">
        <f t="shared" si="20"/>
        <v>0</v>
      </c>
      <c r="V338" s="1">
        <f t="shared" si="21"/>
        <v>0</v>
      </c>
      <c r="W338" s="1">
        <f t="shared" si="22"/>
        <v>0</v>
      </c>
      <c r="X338" s="1">
        <f t="shared" si="23"/>
        <v>0</v>
      </c>
    </row>
    <row r="339" spans="2:24" x14ac:dyDescent="0.25">
      <c r="B339" s="11">
        <f>[1]code!B336</f>
        <v>611</v>
      </c>
      <c r="C339" s="2" t="str">
        <f>[1]code!C336</f>
        <v>حامل قسام - فتحتين</v>
      </c>
      <c r="D339" s="2" t="str">
        <f>[1]code!D336</f>
        <v>مطبوعات (طحينة)</v>
      </c>
      <c r="E339" s="1" t="str">
        <f>[1]code!E336</f>
        <v>حبة</v>
      </c>
      <c r="F339" s="2" t="str">
        <f>[1]code!F336</f>
        <v>المركز السعودى للطباعة</v>
      </c>
      <c r="G339" s="12">
        <f>[1]code!G336</f>
        <v>9.1999999999999998E-2</v>
      </c>
      <c r="I339" s="10">
        <v>9.1999999999999998E-2</v>
      </c>
      <c r="J339" s="10">
        <v>9.1999999999999998E-2</v>
      </c>
      <c r="K339" s="10">
        <v>9.1999999999999998E-2</v>
      </c>
      <c r="L339" s="10">
        <v>9.1999999999999998E-2</v>
      </c>
      <c r="M339" s="10">
        <f>IFERROR(VLOOKUP($B339,[1]INV!$B$7:$H$2575,7,0),"")</f>
        <v>9.1999999999999998E-2</v>
      </c>
      <c r="N339" s="10"/>
      <c r="O339" s="10"/>
      <c r="P339" s="10"/>
      <c r="Q339" s="10"/>
      <c r="R339" s="10"/>
      <c r="S339" s="10"/>
      <c r="T339" s="10"/>
      <c r="U339" s="1">
        <f t="shared" si="20"/>
        <v>9.1999999999999998E-2</v>
      </c>
      <c r="V339" s="1">
        <f t="shared" si="21"/>
        <v>9.1999999999999998E-2</v>
      </c>
      <c r="W339" s="1">
        <f t="shared" si="22"/>
        <v>9.1999999999999998E-2</v>
      </c>
      <c r="X339" s="1">
        <f t="shared" si="23"/>
        <v>9.1999999999999998E-2</v>
      </c>
    </row>
    <row r="340" spans="2:24" x14ac:dyDescent="0.25">
      <c r="B340" s="11">
        <f>[1]code!B337</f>
        <v>612</v>
      </c>
      <c r="C340" s="2" t="str">
        <f>[1]code!C337</f>
        <v>بوكسات مطبوعة صغير 30 سم</v>
      </c>
      <c r="D340" s="2" t="str">
        <f>[1]code!D337</f>
        <v>مطبوعات (طحينة)</v>
      </c>
      <c r="E340" s="1" t="str">
        <f>[1]code!E337</f>
        <v>حبة</v>
      </c>
      <c r="F340" s="2" t="str">
        <f>[1]code!F337</f>
        <v>لامينا</v>
      </c>
      <c r="G340" s="12">
        <f>[1]code!G337</f>
        <v>0.59799999999999998</v>
      </c>
      <c r="I340" s="10">
        <v>0.67300000000000004</v>
      </c>
      <c r="J340" s="10">
        <v>0.59799999999999998</v>
      </c>
      <c r="K340" s="10">
        <v>0.67274999999999996</v>
      </c>
      <c r="L340" s="10">
        <v>0.59799999999999998</v>
      </c>
      <c r="M340" s="10" t="str">
        <f>IFERROR(VLOOKUP($B340,[1]INV!$B$7:$H$2575,7,0),"")</f>
        <v/>
      </c>
      <c r="N340" s="10"/>
      <c r="O340" s="10"/>
      <c r="P340" s="10"/>
      <c r="Q340" s="10"/>
      <c r="R340" s="10"/>
      <c r="S340" s="10"/>
      <c r="T340" s="10"/>
      <c r="U340" s="1">
        <f t="shared" si="20"/>
        <v>0.67300000000000004</v>
      </c>
      <c r="V340" s="1">
        <f t="shared" si="21"/>
        <v>0.59799999999999998</v>
      </c>
      <c r="W340" s="1">
        <f t="shared" si="22"/>
        <v>0.67274999999999996</v>
      </c>
      <c r="X340" s="1">
        <f t="shared" si="23"/>
        <v>0.59799999999999998</v>
      </c>
    </row>
    <row r="341" spans="2:24" x14ac:dyDescent="0.25">
      <c r="B341" s="11">
        <f>[1]code!B338</f>
        <v>613</v>
      </c>
      <c r="C341" s="2" t="str">
        <f>[1]code!C338</f>
        <v>بوكسات مطبوعة مربعة حواوشي</v>
      </c>
      <c r="D341" s="2" t="str">
        <f>[1]code!D338</f>
        <v>مطبوعات (طحينة)</v>
      </c>
      <c r="E341" s="1" t="str">
        <f>[1]code!E338</f>
        <v>حبة</v>
      </c>
      <c r="F341" s="2" t="str">
        <f>[1]code!F338</f>
        <v>لامينا</v>
      </c>
      <c r="G341" s="12">
        <f>[1]code!G338</f>
        <v>0.36799999999999999</v>
      </c>
      <c r="I341" s="10">
        <v>0</v>
      </c>
      <c r="J341" s="10">
        <v>0</v>
      </c>
      <c r="K341" s="10">
        <v>0</v>
      </c>
      <c r="L341" s="10">
        <v>0</v>
      </c>
      <c r="M341" s="10" t="str">
        <f>IFERROR(VLOOKUP($B341,[1]INV!$B$7:$H$2575,7,0),"")</f>
        <v/>
      </c>
      <c r="N341" s="10"/>
      <c r="O341" s="10"/>
      <c r="P341" s="10"/>
      <c r="Q341" s="10"/>
      <c r="R341" s="10"/>
      <c r="S341" s="10"/>
      <c r="T341" s="10"/>
      <c r="U341" s="1">
        <f t="shared" si="20"/>
        <v>0</v>
      </c>
      <c r="V341" s="1">
        <f t="shared" si="21"/>
        <v>0</v>
      </c>
      <c r="W341" s="1">
        <f t="shared" si="22"/>
        <v>0</v>
      </c>
      <c r="X341" s="1">
        <f t="shared" si="23"/>
        <v>0</v>
      </c>
    </row>
    <row r="342" spans="2:24" x14ac:dyDescent="0.25">
      <c r="B342" s="11">
        <f>[1]code!B339</f>
        <v>614</v>
      </c>
      <c r="C342" s="2" t="str">
        <f>[1]code!C339</f>
        <v>علب باستا مطبوعة</v>
      </c>
      <c r="D342" s="2" t="str">
        <f>[1]code!D339</f>
        <v>مطبوعات (طحينة)</v>
      </c>
      <c r="E342" s="1" t="str">
        <f>[1]code!E339</f>
        <v>حبة</v>
      </c>
      <c r="F342" s="2">
        <f>[1]code!F339</f>
        <v>0</v>
      </c>
      <c r="G342" s="12">
        <f>[1]code!G339</f>
        <v>0.92</v>
      </c>
      <c r="I342" s="10">
        <v>0</v>
      </c>
      <c r="J342" s="10">
        <v>0</v>
      </c>
      <c r="K342" s="10">
        <v>0</v>
      </c>
      <c r="L342" s="10">
        <v>0</v>
      </c>
      <c r="M342" s="10" t="str">
        <f>IFERROR(VLOOKUP($B342,[1]INV!$B$7:$H$2575,7,0),"")</f>
        <v/>
      </c>
      <c r="N342" s="10"/>
      <c r="O342" s="10"/>
      <c r="P342" s="10"/>
      <c r="Q342" s="10"/>
      <c r="R342" s="10"/>
      <c r="S342" s="10"/>
      <c r="T342" s="10"/>
      <c r="U342" s="1">
        <f t="shared" si="20"/>
        <v>0</v>
      </c>
      <c r="V342" s="1">
        <f t="shared" si="21"/>
        <v>0</v>
      </c>
      <c r="W342" s="1">
        <f t="shared" si="22"/>
        <v>0</v>
      </c>
      <c r="X342" s="1">
        <f t="shared" si="23"/>
        <v>0</v>
      </c>
    </row>
    <row r="343" spans="2:24" x14ac:dyDescent="0.25">
      <c r="B343" s="11">
        <f>[1]code!B340</f>
        <v>634</v>
      </c>
      <c r="C343" s="2" t="str">
        <f>[1]code!C340</f>
        <v>كفرات طعام 3*1 باك ستريت</v>
      </c>
      <c r="D343" s="2" t="str">
        <f>[1]code!D340</f>
        <v>مطبوعات (باك ستريت)</v>
      </c>
      <c r="E343" s="1" t="str">
        <f>[1]code!E340</f>
        <v>حبة</v>
      </c>
      <c r="F343" s="2" t="str">
        <f>[1]code!F340</f>
        <v>الظاهرى</v>
      </c>
      <c r="G343" s="12">
        <f>[1]code!G340</f>
        <v>0</v>
      </c>
      <c r="I343" s="10">
        <v>0</v>
      </c>
      <c r="J343" s="10">
        <v>0</v>
      </c>
      <c r="K343" s="10">
        <v>0</v>
      </c>
      <c r="L343" s="10">
        <v>0</v>
      </c>
      <c r="M343" s="10" t="str">
        <f>IFERROR(VLOOKUP($B343,[1]INV!$B$7:$H$2575,7,0),"")</f>
        <v/>
      </c>
      <c r="N343" s="10"/>
      <c r="O343" s="10"/>
      <c r="P343" s="10"/>
      <c r="Q343" s="10"/>
      <c r="R343" s="10"/>
      <c r="S343" s="10"/>
      <c r="T343" s="10"/>
      <c r="U343" s="1">
        <f t="shared" si="20"/>
        <v>0</v>
      </c>
      <c r="V343" s="1">
        <f t="shared" si="21"/>
        <v>0</v>
      </c>
      <c r="W343" s="1">
        <f t="shared" si="22"/>
        <v>0</v>
      </c>
      <c r="X343" s="1">
        <f t="shared" si="23"/>
        <v>0</v>
      </c>
    </row>
    <row r="344" spans="2:24" x14ac:dyDescent="0.25">
      <c r="B344" s="11">
        <f>[1]code!B341</f>
        <v>584</v>
      </c>
      <c r="C344" s="2" t="str">
        <f>[1]code!C341</f>
        <v>أكیاس بيبسي بلاستیك باك ستريت</v>
      </c>
      <c r="D344" s="2" t="str">
        <f>[1]code!D341</f>
        <v>مطبوعات (باك ستريت)</v>
      </c>
      <c r="E344" s="1" t="str">
        <f>[1]code!E341</f>
        <v>كيلو</v>
      </c>
      <c r="F344" s="2" t="str">
        <f>[1]code!F341</f>
        <v>الظاهرى</v>
      </c>
      <c r="G344" s="12">
        <f>[1]code!G341</f>
        <v>0</v>
      </c>
      <c r="I344" s="10">
        <v>0</v>
      </c>
      <c r="J344" s="10">
        <v>0</v>
      </c>
      <c r="K344" s="10">
        <v>0</v>
      </c>
      <c r="L344" s="10">
        <v>0</v>
      </c>
      <c r="M344" s="10" t="str">
        <f>IFERROR(VLOOKUP($B344,[1]INV!$B$7:$H$2575,7,0),"")</f>
        <v/>
      </c>
      <c r="N344" s="10"/>
      <c r="O344" s="10"/>
      <c r="P344" s="10"/>
      <c r="Q344" s="10"/>
      <c r="R344" s="10"/>
      <c r="S344" s="10"/>
      <c r="T344" s="10"/>
      <c r="U344" s="1">
        <f t="shared" si="20"/>
        <v>0</v>
      </c>
      <c r="V344" s="1">
        <f t="shared" si="21"/>
        <v>0</v>
      </c>
      <c r="W344" s="1">
        <f t="shared" si="22"/>
        <v>0</v>
      </c>
      <c r="X344" s="1">
        <f t="shared" si="23"/>
        <v>0</v>
      </c>
    </row>
    <row r="345" spans="2:24" x14ac:dyDescent="0.25">
      <c r="B345" s="11">
        <f>[1]code!B342</f>
        <v>633</v>
      </c>
      <c r="C345" s="2" t="str">
        <f>[1]code!C342</f>
        <v xml:space="preserve">أكیاس ورقي كبیر مطبوعة </v>
      </c>
      <c r="D345" s="2" t="str">
        <f>[1]code!D342</f>
        <v>مطبوعات (باك ستريت)</v>
      </c>
      <c r="E345" s="1" t="str">
        <f>[1]code!E342</f>
        <v>حبة</v>
      </c>
      <c r="F345" s="2" t="str">
        <f>[1]code!F342</f>
        <v>مشتريات مباشرة</v>
      </c>
      <c r="G345" s="12">
        <f>[1]code!G342</f>
        <v>0.89699999999999991</v>
      </c>
      <c r="I345" s="10">
        <v>0</v>
      </c>
      <c r="J345" s="10">
        <v>0</v>
      </c>
      <c r="K345" s="10">
        <v>0</v>
      </c>
      <c r="L345" s="10">
        <v>0</v>
      </c>
      <c r="M345" s="10" t="str">
        <f>IFERROR(VLOOKUP($B345,[1]INV!$B$7:$H$2575,7,0),"")</f>
        <v/>
      </c>
      <c r="N345" s="10"/>
      <c r="O345" s="10"/>
      <c r="P345" s="10"/>
      <c r="Q345" s="10"/>
      <c r="R345" s="10"/>
      <c r="S345" s="10"/>
      <c r="T345" s="10"/>
      <c r="U345" s="1">
        <f t="shared" si="20"/>
        <v>0</v>
      </c>
      <c r="V345" s="1">
        <f t="shared" si="21"/>
        <v>0</v>
      </c>
      <c r="W345" s="1">
        <f t="shared" si="22"/>
        <v>0</v>
      </c>
      <c r="X345" s="1">
        <f t="shared" si="23"/>
        <v>0</v>
      </c>
    </row>
    <row r="346" spans="2:24" x14ac:dyDescent="0.25">
      <c r="B346" s="11">
        <f>[1]code!B343</f>
        <v>813</v>
      </c>
      <c r="C346" s="2" t="str">
        <f>[1]code!C343</f>
        <v xml:space="preserve">استیكر منتج </v>
      </c>
      <c r="D346" s="2" t="str">
        <f>[1]code!D343</f>
        <v>مطبوعات (باك ستريت)</v>
      </c>
      <c r="E346" s="1" t="str">
        <f>[1]code!E343</f>
        <v>حبة</v>
      </c>
      <c r="F346" s="2" t="str">
        <f>[1]code!F343</f>
        <v>المركز السعودى للطباعة</v>
      </c>
      <c r="G346" s="12">
        <f>[1]code!G343</f>
        <v>0</v>
      </c>
      <c r="I346" s="10">
        <v>0</v>
      </c>
      <c r="J346" s="10">
        <v>0</v>
      </c>
      <c r="K346" s="10">
        <v>0</v>
      </c>
      <c r="L346" s="10">
        <v>0</v>
      </c>
      <c r="M346" s="10" t="str">
        <f>IFERROR(VLOOKUP($B346,[1]INV!$B$7:$H$2575,7,0),"")</f>
        <v/>
      </c>
      <c r="N346" s="10"/>
      <c r="O346" s="10"/>
      <c r="P346" s="10"/>
      <c r="Q346" s="10"/>
      <c r="R346" s="10"/>
      <c r="S346" s="10"/>
      <c r="T346" s="10"/>
      <c r="U346" s="1">
        <f t="shared" si="20"/>
        <v>0</v>
      </c>
      <c r="V346" s="1">
        <f t="shared" si="21"/>
        <v>0</v>
      </c>
      <c r="W346" s="1">
        <f t="shared" si="22"/>
        <v>0</v>
      </c>
      <c r="X346" s="1">
        <f t="shared" si="23"/>
        <v>0</v>
      </c>
    </row>
    <row r="347" spans="2:24" x14ac:dyDescent="0.25">
      <c r="B347" s="11">
        <f>[1]code!B344</f>
        <v>814</v>
      </c>
      <c r="C347" s="2" t="str">
        <f>[1]code!C344</f>
        <v xml:space="preserve">استیكر تغلیف حلا </v>
      </c>
      <c r="D347" s="2" t="str">
        <f>[1]code!D344</f>
        <v>مطبوعات (باك ستريت)</v>
      </c>
      <c r="E347" s="1" t="str">
        <f>[1]code!E344</f>
        <v>حبة</v>
      </c>
      <c r="F347" s="2" t="str">
        <f>[1]code!F344</f>
        <v>المركز السعودى للطباعة</v>
      </c>
      <c r="G347" s="12">
        <f>[1]code!G344</f>
        <v>0</v>
      </c>
      <c r="I347" s="10">
        <v>0</v>
      </c>
      <c r="J347" s="10">
        <v>0</v>
      </c>
      <c r="K347" s="10">
        <v>0</v>
      </c>
      <c r="L347" s="10">
        <v>0</v>
      </c>
      <c r="M347" s="10" t="str">
        <f>IFERROR(VLOOKUP($B347,[1]INV!$B$7:$H$2575,7,0),"")</f>
        <v/>
      </c>
      <c r="N347" s="10"/>
      <c r="O347" s="10"/>
      <c r="P347" s="10"/>
      <c r="Q347" s="10"/>
      <c r="R347" s="10"/>
      <c r="S347" s="10"/>
      <c r="T347" s="10"/>
      <c r="U347" s="1">
        <f t="shared" si="20"/>
        <v>0</v>
      </c>
      <c r="V347" s="1">
        <f t="shared" si="21"/>
        <v>0</v>
      </c>
      <c r="W347" s="1">
        <f t="shared" si="22"/>
        <v>0</v>
      </c>
      <c r="X347" s="1">
        <f t="shared" si="23"/>
        <v>0</v>
      </c>
    </row>
    <row r="348" spans="2:24" x14ac:dyDescent="0.25">
      <c r="B348" s="11">
        <f>[1]code!B345</f>
        <v>598</v>
      </c>
      <c r="C348" s="2" t="str">
        <f>[1]code!C345</f>
        <v>بوكسات مطبوعة باك ستريت</v>
      </c>
      <c r="D348" s="2" t="str">
        <f>[1]code!D345</f>
        <v>مطبوعات (باك ستريت)</v>
      </c>
      <c r="E348" s="1" t="str">
        <f>[1]code!E345</f>
        <v>حبة</v>
      </c>
      <c r="F348" s="2" t="str">
        <f>[1]code!F345</f>
        <v>لامينا</v>
      </c>
      <c r="G348" s="12">
        <f>[1]code!G345</f>
        <v>0</v>
      </c>
      <c r="I348" s="10">
        <v>0</v>
      </c>
      <c r="J348" s="10">
        <v>0</v>
      </c>
      <c r="K348" s="10">
        <v>0</v>
      </c>
      <c r="L348" s="10">
        <v>0</v>
      </c>
      <c r="M348" s="10" t="str">
        <f>IFERROR(VLOOKUP($B348,[1]INV!$B$7:$H$2575,7,0),"")</f>
        <v/>
      </c>
      <c r="N348" s="10"/>
      <c r="O348" s="10"/>
      <c r="P348" s="10"/>
      <c r="Q348" s="10"/>
      <c r="R348" s="10"/>
      <c r="S348" s="10"/>
      <c r="T348" s="10"/>
      <c r="U348" s="1">
        <f t="shared" si="20"/>
        <v>0</v>
      </c>
      <c r="V348" s="1">
        <f t="shared" si="21"/>
        <v>0</v>
      </c>
      <c r="W348" s="1">
        <f t="shared" si="22"/>
        <v>0</v>
      </c>
      <c r="X348" s="1">
        <f t="shared" si="23"/>
        <v>0</v>
      </c>
    </row>
    <row r="349" spans="2:24" x14ac:dyDescent="0.25">
      <c r="B349" s="11">
        <f>[1]code!B346</f>
        <v>635</v>
      </c>
      <c r="C349" s="2" t="str">
        <f>[1]code!C346</f>
        <v>كفرات طعام 4*1 باك ستريت</v>
      </c>
      <c r="D349" s="2" t="str">
        <f>[1]code!D346</f>
        <v>مطبوعات (باك ستريت)</v>
      </c>
      <c r="E349" s="1" t="str">
        <f>[1]code!E346</f>
        <v>حبة</v>
      </c>
      <c r="F349" s="2" t="str">
        <f>[1]code!F346</f>
        <v>الظاهرى</v>
      </c>
      <c r="G349" s="12">
        <f>[1]code!G346</f>
        <v>0</v>
      </c>
      <c r="I349" s="10">
        <v>0</v>
      </c>
      <c r="J349" s="10">
        <v>0</v>
      </c>
      <c r="K349" s="10">
        <v>0</v>
      </c>
      <c r="L349" s="10">
        <v>0</v>
      </c>
      <c r="M349" s="10" t="str">
        <f>IFERROR(VLOOKUP($B349,[1]INV!$B$7:$H$2575,7,0),"")</f>
        <v/>
      </c>
      <c r="N349" s="10"/>
      <c r="O349" s="10"/>
      <c r="P349" s="10"/>
      <c r="Q349" s="10"/>
      <c r="R349" s="10"/>
      <c r="S349" s="10"/>
      <c r="T349" s="10"/>
      <c r="U349" s="1">
        <f t="shared" si="20"/>
        <v>0</v>
      </c>
      <c r="V349" s="1">
        <f t="shared" si="21"/>
        <v>0</v>
      </c>
      <c r="W349" s="1">
        <f t="shared" si="22"/>
        <v>0</v>
      </c>
      <c r="X349" s="1">
        <f t="shared" si="23"/>
        <v>0</v>
      </c>
    </row>
    <row r="350" spans="2:24" x14ac:dyDescent="0.25">
      <c r="B350" s="11">
        <f>[1]code!B347</f>
        <v>198</v>
      </c>
      <c r="C350" s="2" t="str">
        <f>[1]code!C347</f>
        <v>كابتن أوردر - المشربية</v>
      </c>
      <c r="D350" s="2" t="str">
        <f>[1]code!D347</f>
        <v>مطبوعات (المشربية)</v>
      </c>
      <c r="E350" s="1" t="str">
        <f>[1]code!E347</f>
        <v>حبة</v>
      </c>
      <c r="F350" s="2">
        <f>[1]code!F347</f>
        <v>0</v>
      </c>
      <c r="G350" s="12">
        <f>[1]code!G347</f>
        <v>0</v>
      </c>
      <c r="I350" s="10">
        <v>0</v>
      </c>
      <c r="J350" s="10">
        <v>0</v>
      </c>
      <c r="K350" s="10">
        <v>0</v>
      </c>
      <c r="L350" s="10">
        <v>0</v>
      </c>
      <c r="M350" s="10" t="str">
        <f>IFERROR(VLOOKUP($B350,[1]INV!$B$7:$H$2575,7,0),"")</f>
        <v/>
      </c>
      <c r="N350" s="10"/>
      <c r="O350" s="10"/>
      <c r="P350" s="10"/>
      <c r="Q350" s="10"/>
      <c r="R350" s="10"/>
      <c r="S350" s="10"/>
      <c r="T350" s="10"/>
      <c r="U350" s="1">
        <f t="shared" si="20"/>
        <v>0</v>
      </c>
      <c r="V350" s="1">
        <f t="shared" si="21"/>
        <v>0</v>
      </c>
      <c r="W350" s="1">
        <f t="shared" si="22"/>
        <v>0</v>
      </c>
      <c r="X350" s="1">
        <f t="shared" si="23"/>
        <v>0</v>
      </c>
    </row>
    <row r="351" spans="2:24" x14ac:dyDescent="0.25">
      <c r="B351" s="11">
        <f>[1]code!B348</f>
        <v>199</v>
      </c>
      <c r="C351" s="2" t="str">
        <f>[1]code!C348</f>
        <v>نوتات - المشربية</v>
      </c>
      <c r="D351" s="2" t="str">
        <f>[1]code!D348</f>
        <v>مطبوعات (المشربية)</v>
      </c>
      <c r="E351" s="1" t="str">
        <f>[1]code!E348</f>
        <v>حبة</v>
      </c>
      <c r="F351" s="2">
        <f>[1]code!F348</f>
        <v>0</v>
      </c>
      <c r="G351" s="12">
        <f>[1]code!G348</f>
        <v>0</v>
      </c>
      <c r="I351" s="10">
        <v>0</v>
      </c>
      <c r="J351" s="10">
        <v>0</v>
      </c>
      <c r="K351" s="10">
        <v>0</v>
      </c>
      <c r="L351" s="10">
        <v>0</v>
      </c>
      <c r="M351" s="10" t="str">
        <f>IFERROR(VLOOKUP($B351,[1]INV!$B$7:$H$2575,7,0),"")</f>
        <v/>
      </c>
      <c r="N351" s="10"/>
      <c r="O351" s="10"/>
      <c r="P351" s="10"/>
      <c r="Q351" s="10"/>
      <c r="R351" s="10"/>
      <c r="S351" s="10"/>
      <c r="T351" s="10"/>
      <c r="U351" s="1">
        <f t="shared" si="20"/>
        <v>0</v>
      </c>
      <c r="V351" s="1">
        <f t="shared" si="21"/>
        <v>0</v>
      </c>
      <c r="W351" s="1">
        <f t="shared" si="22"/>
        <v>0</v>
      </c>
      <c r="X351" s="1">
        <f t="shared" si="23"/>
        <v>0</v>
      </c>
    </row>
    <row r="352" spans="2:24" x14ac:dyDescent="0.25">
      <c r="B352" s="11">
        <f>[1]code!B349</f>
        <v>265</v>
      </c>
      <c r="C352" s="2" t="str">
        <f>[1]code!C349</f>
        <v>كوتشينا - المشربية</v>
      </c>
      <c r="D352" s="2" t="str">
        <f>[1]code!D349</f>
        <v>مطبوعات (المشربية)</v>
      </c>
      <c r="E352" s="1" t="str">
        <f>[1]code!E349</f>
        <v>حبة</v>
      </c>
      <c r="F352" s="2">
        <f>[1]code!F349</f>
        <v>0</v>
      </c>
      <c r="G352" s="12">
        <f>[1]code!G349</f>
        <v>0</v>
      </c>
      <c r="I352" s="10">
        <v>0</v>
      </c>
      <c r="J352" s="10">
        <v>0</v>
      </c>
      <c r="K352" s="10">
        <v>0</v>
      </c>
      <c r="L352" s="10">
        <v>0</v>
      </c>
      <c r="M352" s="10" t="str">
        <f>IFERROR(VLOOKUP($B352,[1]INV!$B$7:$H$2575,7,0),"")</f>
        <v/>
      </c>
      <c r="N352" s="10"/>
      <c r="O352" s="10"/>
      <c r="P352" s="10"/>
      <c r="Q352" s="10"/>
      <c r="R352" s="10"/>
      <c r="S352" s="10"/>
      <c r="T352" s="10"/>
      <c r="U352" s="1">
        <f t="shared" si="20"/>
        <v>0</v>
      </c>
      <c r="V352" s="1">
        <f t="shared" si="21"/>
        <v>0</v>
      </c>
      <c r="W352" s="1">
        <f t="shared" si="22"/>
        <v>0</v>
      </c>
      <c r="X352" s="1">
        <f t="shared" si="23"/>
        <v>0</v>
      </c>
    </row>
    <row r="353" spans="2:24" x14ac:dyDescent="0.25">
      <c r="B353" s="11">
        <f>[1]code!B350</f>
        <v>291</v>
      </c>
      <c r="C353" s="2" t="str">
        <f>[1]code!C350</f>
        <v>قلم مطبوع - المشربية</v>
      </c>
      <c r="D353" s="2" t="str">
        <f>[1]code!D350</f>
        <v>مطبوعات (المشربية)</v>
      </c>
      <c r="E353" s="1" t="str">
        <f>[1]code!E350</f>
        <v>حبة</v>
      </c>
      <c r="F353" s="2">
        <f>[1]code!F350</f>
        <v>0</v>
      </c>
      <c r="G353" s="12">
        <f>[1]code!G350</f>
        <v>0</v>
      </c>
      <c r="I353" s="10">
        <v>0</v>
      </c>
      <c r="J353" s="10">
        <v>0</v>
      </c>
      <c r="K353" s="10">
        <v>0</v>
      </c>
      <c r="L353" s="10">
        <v>0</v>
      </c>
      <c r="M353" s="10" t="str">
        <f>IFERROR(VLOOKUP($B353,[1]INV!$B$7:$H$2575,7,0),"")</f>
        <v/>
      </c>
      <c r="N353" s="10"/>
      <c r="O353" s="10"/>
      <c r="P353" s="10"/>
      <c r="Q353" s="10"/>
      <c r="R353" s="10"/>
      <c r="S353" s="10"/>
      <c r="T353" s="10"/>
      <c r="U353" s="1">
        <f t="shared" si="20"/>
        <v>0</v>
      </c>
      <c r="V353" s="1">
        <f t="shared" si="21"/>
        <v>0</v>
      </c>
      <c r="W353" s="1">
        <f t="shared" si="22"/>
        <v>0</v>
      </c>
      <c r="X353" s="1">
        <f t="shared" si="23"/>
        <v>0</v>
      </c>
    </row>
    <row r="354" spans="2:24" x14ac:dyDescent="0.25">
      <c r="B354" s="11">
        <f>[1]code!B351</f>
        <v>320</v>
      </c>
      <c r="C354" s="2" t="str">
        <f>[1]code!C351</f>
        <v>ملصق تاريخ صلاحية - المشربية</v>
      </c>
      <c r="D354" s="2" t="str">
        <f>[1]code!D351</f>
        <v>مطبوعات (المشربية)</v>
      </c>
      <c r="E354" s="1" t="str">
        <f>[1]code!E351</f>
        <v>حبة</v>
      </c>
      <c r="F354" s="2">
        <f>[1]code!F351</f>
        <v>0</v>
      </c>
      <c r="G354" s="12">
        <f>[1]code!G351</f>
        <v>0</v>
      </c>
      <c r="I354" s="10">
        <v>0</v>
      </c>
      <c r="J354" s="10">
        <v>0</v>
      </c>
      <c r="K354" s="10">
        <v>0</v>
      </c>
      <c r="L354" s="10">
        <v>0</v>
      </c>
      <c r="M354" s="10" t="str">
        <f>IFERROR(VLOOKUP($B354,[1]INV!$B$7:$H$2575,7,0),"")</f>
        <v/>
      </c>
      <c r="N354" s="10"/>
      <c r="O354" s="10"/>
      <c r="P354" s="10"/>
      <c r="Q354" s="10"/>
      <c r="R354" s="10"/>
      <c r="S354" s="10"/>
      <c r="T354" s="10"/>
      <c r="U354" s="1">
        <f t="shared" si="20"/>
        <v>0</v>
      </c>
      <c r="V354" s="1">
        <f t="shared" si="21"/>
        <v>0</v>
      </c>
      <c r="W354" s="1">
        <f t="shared" si="22"/>
        <v>0</v>
      </c>
      <c r="X354" s="1">
        <f t="shared" si="23"/>
        <v>0</v>
      </c>
    </row>
    <row r="355" spans="2:24" x14ac:dyDescent="0.25">
      <c r="B355" s="11">
        <f>[1]code!B352</f>
        <v>321</v>
      </c>
      <c r="C355" s="2" t="str">
        <f>[1]code!C352</f>
        <v>دفتر نقدية - المشربية</v>
      </c>
      <c r="D355" s="2" t="str">
        <f>[1]code!D352</f>
        <v>مطبوعات (المشربية)</v>
      </c>
      <c r="E355" s="1" t="str">
        <f>[1]code!E352</f>
        <v>حبة</v>
      </c>
      <c r="F355" s="2">
        <f>[1]code!F352</f>
        <v>0</v>
      </c>
      <c r="G355" s="12">
        <f>[1]code!G352</f>
        <v>0</v>
      </c>
      <c r="I355" s="10">
        <v>0</v>
      </c>
      <c r="J355" s="10">
        <v>0</v>
      </c>
      <c r="K355" s="10">
        <v>0</v>
      </c>
      <c r="L355" s="10">
        <v>0</v>
      </c>
      <c r="M355" s="10" t="str">
        <f>IFERROR(VLOOKUP($B355,[1]INV!$B$7:$H$2575,7,0),"")</f>
        <v/>
      </c>
      <c r="N355" s="10"/>
      <c r="O355" s="10"/>
      <c r="P355" s="10"/>
      <c r="Q355" s="10"/>
      <c r="R355" s="10"/>
      <c r="S355" s="10"/>
      <c r="T355" s="10"/>
      <c r="U355" s="1">
        <f t="shared" si="20"/>
        <v>0</v>
      </c>
      <c r="V355" s="1">
        <f t="shared" si="21"/>
        <v>0</v>
      </c>
      <c r="W355" s="1">
        <f t="shared" si="22"/>
        <v>0</v>
      </c>
      <c r="X355" s="1">
        <f t="shared" si="23"/>
        <v>0</v>
      </c>
    </row>
    <row r="356" spans="2:24" x14ac:dyDescent="0.25">
      <c r="B356" s="11">
        <f>[1]code!B353</f>
        <v>322</v>
      </c>
      <c r="C356" s="2" t="str">
        <f>[1]code!C353</f>
        <v>دفتر عهده - المشربية</v>
      </c>
      <c r="D356" s="2" t="str">
        <f>[1]code!D353</f>
        <v>مطبوعات (المشربية)</v>
      </c>
      <c r="E356" s="1" t="str">
        <f>[1]code!E353</f>
        <v>حبة</v>
      </c>
      <c r="F356" s="2">
        <f>[1]code!F353</f>
        <v>0</v>
      </c>
      <c r="G356" s="12">
        <f>[1]code!G353</f>
        <v>0</v>
      </c>
      <c r="I356" s="10">
        <v>0</v>
      </c>
      <c r="J356" s="10">
        <v>0</v>
      </c>
      <c r="K356" s="10">
        <v>0</v>
      </c>
      <c r="L356" s="10">
        <v>0</v>
      </c>
      <c r="M356" s="10" t="str">
        <f>IFERROR(VLOOKUP($B356,[1]INV!$B$7:$H$2575,7,0),"")</f>
        <v/>
      </c>
      <c r="N356" s="10"/>
      <c r="O356" s="10"/>
      <c r="P356" s="10"/>
      <c r="Q356" s="10"/>
      <c r="R356" s="10"/>
      <c r="S356" s="10"/>
      <c r="T356" s="10"/>
      <c r="U356" s="1">
        <f t="shared" si="20"/>
        <v>0</v>
      </c>
      <c r="V356" s="1">
        <f t="shared" si="21"/>
        <v>0</v>
      </c>
      <c r="W356" s="1">
        <f t="shared" si="22"/>
        <v>0</v>
      </c>
      <c r="X356" s="1">
        <f t="shared" si="23"/>
        <v>0</v>
      </c>
    </row>
    <row r="357" spans="2:24" x14ac:dyDescent="0.25">
      <c r="B357" s="11">
        <f>[1]code!B354</f>
        <v>330</v>
      </c>
      <c r="C357" s="2" t="str">
        <f>[1]code!C354</f>
        <v>مناديل سفرة مطبوع - المشربية</v>
      </c>
      <c r="D357" s="2" t="str">
        <f>[1]code!D354</f>
        <v>مطبوعات (المشربية)</v>
      </c>
      <c r="E357" s="1" t="str">
        <f>[1]code!E354</f>
        <v>حبة</v>
      </c>
      <c r="F357" s="2" t="str">
        <f>[1]code!F354</f>
        <v>شركة نابكو الوطنية</v>
      </c>
      <c r="G357" s="12">
        <f>[1]code!G354</f>
        <v>0</v>
      </c>
      <c r="I357" s="10">
        <v>0</v>
      </c>
      <c r="J357" s="10">
        <v>0</v>
      </c>
      <c r="K357" s="10">
        <v>0</v>
      </c>
      <c r="L357" s="10">
        <v>0</v>
      </c>
      <c r="M357" s="10" t="str">
        <f>IFERROR(VLOOKUP($B357,[1]INV!$B$7:$H$2575,7,0),"")</f>
        <v/>
      </c>
      <c r="N357" s="10"/>
      <c r="O357" s="10"/>
      <c r="P357" s="10"/>
      <c r="Q357" s="10"/>
      <c r="R357" s="10"/>
      <c r="S357" s="10"/>
      <c r="T357" s="10"/>
      <c r="U357" s="1">
        <f t="shared" si="20"/>
        <v>0</v>
      </c>
      <c r="V357" s="1">
        <f t="shared" si="21"/>
        <v>0</v>
      </c>
      <c r="W357" s="1">
        <f t="shared" si="22"/>
        <v>0</v>
      </c>
      <c r="X357" s="1">
        <f t="shared" si="23"/>
        <v>0</v>
      </c>
    </row>
    <row r="358" spans="2:24" x14ac:dyDescent="0.25">
      <c r="B358" s="11">
        <f>[1]code!B355</f>
        <v>433</v>
      </c>
      <c r="C358" s="2" t="str">
        <f>[1]code!C355</f>
        <v>ورق زبدة مطبوع - المشربية</v>
      </c>
      <c r="D358" s="2" t="str">
        <f>[1]code!D355</f>
        <v>مطبوعات (المشربية)</v>
      </c>
      <c r="E358" s="1" t="str">
        <f>[1]code!E355</f>
        <v>حبة</v>
      </c>
      <c r="F358" s="2">
        <f>[1]code!F355</f>
        <v>0</v>
      </c>
      <c r="G358" s="12">
        <f>[1]code!G355</f>
        <v>0</v>
      </c>
      <c r="I358" s="10">
        <v>0</v>
      </c>
      <c r="J358" s="10">
        <v>0</v>
      </c>
      <c r="K358" s="10">
        <v>0</v>
      </c>
      <c r="L358" s="10">
        <v>0</v>
      </c>
      <c r="M358" s="10" t="str">
        <f>IFERROR(VLOOKUP($B358,[1]INV!$B$7:$H$2575,7,0),"")</f>
        <v/>
      </c>
      <c r="N358" s="10"/>
      <c r="O358" s="10"/>
      <c r="P358" s="10"/>
      <c r="Q358" s="10"/>
      <c r="R358" s="10"/>
      <c r="S358" s="10"/>
      <c r="T358" s="10"/>
      <c r="U358" s="1">
        <f t="shared" si="20"/>
        <v>0</v>
      </c>
      <c r="V358" s="1">
        <f t="shared" si="21"/>
        <v>0</v>
      </c>
      <c r="W358" s="1">
        <f t="shared" si="22"/>
        <v>0</v>
      </c>
      <c r="X358" s="1">
        <f t="shared" si="23"/>
        <v>0</v>
      </c>
    </row>
    <row r="359" spans="2:24" x14ac:dyDescent="0.25">
      <c r="B359" s="11">
        <f>[1]code!B356</f>
        <v>434</v>
      </c>
      <c r="C359" s="2" t="str">
        <f>[1]code!C356</f>
        <v>ملصقات أكواب - المشربية</v>
      </c>
      <c r="D359" s="2" t="str">
        <f>[1]code!D356</f>
        <v>مطبوعات (المشربية)</v>
      </c>
      <c r="E359" s="1" t="str">
        <f>[1]code!E356</f>
        <v>حبة</v>
      </c>
      <c r="F359" s="2">
        <f>[1]code!F356</f>
        <v>0</v>
      </c>
      <c r="G359" s="12">
        <f>[1]code!G356</f>
        <v>0</v>
      </c>
      <c r="I359" s="10">
        <v>0</v>
      </c>
      <c r="J359" s="10">
        <v>0</v>
      </c>
      <c r="K359" s="10">
        <v>0</v>
      </c>
      <c r="L359" s="10">
        <v>0</v>
      </c>
      <c r="M359" s="10" t="str">
        <f>IFERROR(VLOOKUP($B359,[1]INV!$B$7:$H$2575,7,0),"")</f>
        <v/>
      </c>
      <c r="N359" s="10"/>
      <c r="O359" s="10"/>
      <c r="P359" s="10"/>
      <c r="Q359" s="10"/>
      <c r="R359" s="10"/>
      <c r="S359" s="10"/>
      <c r="T359" s="10"/>
      <c r="U359" s="1">
        <f t="shared" si="20"/>
        <v>0</v>
      </c>
      <c r="V359" s="1">
        <f t="shared" si="21"/>
        <v>0</v>
      </c>
      <c r="W359" s="1">
        <f t="shared" si="22"/>
        <v>0</v>
      </c>
      <c r="X359" s="1">
        <f t="shared" si="23"/>
        <v>0</v>
      </c>
    </row>
    <row r="360" spans="2:24" x14ac:dyDescent="0.25">
      <c r="B360" s="11">
        <f>[1]code!B357</f>
        <v>439</v>
      </c>
      <c r="C360" s="2" t="str">
        <f>[1]code!C357</f>
        <v>كابتن أرودر أم كلثوم - المشربية</v>
      </c>
      <c r="D360" s="2" t="str">
        <f>[1]code!D357</f>
        <v>مطبوعات (المشربية)</v>
      </c>
      <c r="E360" s="1" t="str">
        <f>[1]code!E357</f>
        <v>حبة</v>
      </c>
      <c r="F360" s="2">
        <f>[1]code!F357</f>
        <v>0</v>
      </c>
      <c r="G360" s="12">
        <f>[1]code!G357</f>
        <v>0</v>
      </c>
      <c r="I360" s="10">
        <v>0</v>
      </c>
      <c r="J360" s="10">
        <v>0</v>
      </c>
      <c r="K360" s="10">
        <v>0</v>
      </c>
      <c r="L360" s="10">
        <v>0</v>
      </c>
      <c r="M360" s="10" t="str">
        <f>IFERROR(VLOOKUP($B360,[1]INV!$B$7:$H$2575,7,0),"")</f>
        <v/>
      </c>
      <c r="N360" s="10"/>
      <c r="O360" s="10"/>
      <c r="P360" s="10"/>
      <c r="Q360" s="10"/>
      <c r="R360" s="10"/>
      <c r="S360" s="10"/>
      <c r="T360" s="10"/>
      <c r="U360" s="1">
        <f t="shared" si="20"/>
        <v>0</v>
      </c>
      <c r="V360" s="1">
        <f t="shared" si="21"/>
        <v>0</v>
      </c>
      <c r="W360" s="1">
        <f t="shared" si="22"/>
        <v>0</v>
      </c>
      <c r="X360" s="1">
        <f t="shared" si="23"/>
        <v>0</v>
      </c>
    </row>
    <row r="361" spans="2:24" x14ac:dyDescent="0.25">
      <c r="B361" s="11">
        <f>[1]code!B358</f>
        <v>440</v>
      </c>
      <c r="C361" s="2" t="str">
        <f>[1]code!C358</f>
        <v>أكواب شاي مطبوع - المشربية</v>
      </c>
      <c r="D361" s="2" t="str">
        <f>[1]code!D358</f>
        <v>مطبوعات (المشربية)</v>
      </c>
      <c r="E361" s="1" t="str">
        <f>[1]code!E358</f>
        <v>حبة</v>
      </c>
      <c r="F361" s="2">
        <f>[1]code!F358</f>
        <v>0</v>
      </c>
      <c r="G361" s="12">
        <f>[1]code!G358</f>
        <v>0</v>
      </c>
      <c r="I361" s="10">
        <v>0</v>
      </c>
      <c r="J361" s="10">
        <v>0</v>
      </c>
      <c r="K361" s="10">
        <v>0</v>
      </c>
      <c r="L361" s="10">
        <v>0</v>
      </c>
      <c r="M361" s="10" t="str">
        <f>IFERROR(VLOOKUP($B361,[1]INV!$B$7:$H$2575,7,0),"")</f>
        <v/>
      </c>
      <c r="N361" s="10"/>
      <c r="O361" s="10"/>
      <c r="P361" s="10"/>
      <c r="Q361" s="10"/>
      <c r="R361" s="10"/>
      <c r="S361" s="10"/>
      <c r="T361" s="10"/>
      <c r="U361" s="1">
        <f t="shared" si="20"/>
        <v>0</v>
      </c>
      <c r="V361" s="1">
        <f t="shared" si="21"/>
        <v>0</v>
      </c>
      <c r="W361" s="1">
        <f t="shared" si="22"/>
        <v>0</v>
      </c>
      <c r="X361" s="1">
        <f t="shared" si="23"/>
        <v>0</v>
      </c>
    </row>
    <row r="362" spans="2:24" x14ac:dyDescent="0.25">
      <c r="B362" s="11">
        <f>[1]code!B359</f>
        <v>441</v>
      </c>
      <c r="C362" s="2" t="str">
        <f>[1]code!C359</f>
        <v>أكواب قهوة مطبوع - المشربية</v>
      </c>
      <c r="D362" s="2" t="str">
        <f>[1]code!D359</f>
        <v>مطبوعات (المشربية)</v>
      </c>
      <c r="E362" s="1" t="str">
        <f>[1]code!E359</f>
        <v>حبة</v>
      </c>
      <c r="F362" s="2">
        <f>[1]code!F359</f>
        <v>0</v>
      </c>
      <c r="G362" s="12">
        <f>[1]code!G359</f>
        <v>0</v>
      </c>
      <c r="I362" s="10">
        <v>0</v>
      </c>
      <c r="J362" s="10">
        <v>0</v>
      </c>
      <c r="K362" s="10">
        <v>0</v>
      </c>
      <c r="L362" s="10">
        <v>0</v>
      </c>
      <c r="M362" s="10" t="str">
        <f>IFERROR(VLOOKUP($B362,[1]INV!$B$7:$H$2575,7,0),"")</f>
        <v/>
      </c>
      <c r="N362" s="10"/>
      <c r="O362" s="10"/>
      <c r="P362" s="10"/>
      <c r="Q362" s="10"/>
      <c r="R362" s="10"/>
      <c r="S362" s="10"/>
      <c r="T362" s="10"/>
      <c r="U362" s="1">
        <f t="shared" si="20"/>
        <v>0</v>
      </c>
      <c r="V362" s="1">
        <f t="shared" si="21"/>
        <v>0</v>
      </c>
      <c r="W362" s="1">
        <f t="shared" si="22"/>
        <v>0</v>
      </c>
      <c r="X362" s="1">
        <f t="shared" si="23"/>
        <v>0</v>
      </c>
    </row>
    <row r="363" spans="2:24" x14ac:dyDescent="0.25">
      <c r="B363" s="11">
        <f>[1]code!B360</f>
        <v>445</v>
      </c>
      <c r="C363" s="2" t="str">
        <f>[1]code!C360</f>
        <v>مناديل معطرة مطبوع - المشربية</v>
      </c>
      <c r="D363" s="2" t="str">
        <f>[1]code!D360</f>
        <v>مطبوعات (المشربية)</v>
      </c>
      <c r="E363" s="1" t="str">
        <f>[1]code!E360</f>
        <v>كرتونة</v>
      </c>
      <c r="F363" s="2" t="str">
        <f>[1]code!F360</f>
        <v>شركة نابكو الوطنية</v>
      </c>
      <c r="G363" s="12">
        <f>[1]code!G360</f>
        <v>0</v>
      </c>
      <c r="I363" s="10">
        <v>0</v>
      </c>
      <c r="J363" s="10">
        <v>0</v>
      </c>
      <c r="K363" s="10">
        <v>0</v>
      </c>
      <c r="L363" s="10">
        <v>0</v>
      </c>
      <c r="M363" s="10" t="str">
        <f>IFERROR(VLOOKUP($B363,[1]INV!$B$7:$H$2575,7,0),"")</f>
        <v/>
      </c>
      <c r="N363" s="10"/>
      <c r="O363" s="10"/>
      <c r="P363" s="10"/>
      <c r="Q363" s="10"/>
      <c r="R363" s="10"/>
      <c r="S363" s="10"/>
      <c r="T363" s="10"/>
      <c r="U363" s="1">
        <f t="shared" si="20"/>
        <v>0</v>
      </c>
      <c r="V363" s="1">
        <f t="shared" si="21"/>
        <v>0</v>
      </c>
      <c r="W363" s="1">
        <f t="shared" si="22"/>
        <v>0</v>
      </c>
      <c r="X363" s="1">
        <f t="shared" si="23"/>
        <v>0</v>
      </c>
    </row>
    <row r="364" spans="2:24" x14ac:dyDescent="0.25">
      <c r="B364" s="11">
        <f>[1]code!B361</f>
        <v>446</v>
      </c>
      <c r="C364" s="2" t="str">
        <f>[1]code!C361</f>
        <v>كابتن أوردر عبدالحليم - المشربية</v>
      </c>
      <c r="D364" s="2" t="str">
        <f>[1]code!D361</f>
        <v>مطبوعات (المشربية)</v>
      </c>
      <c r="E364" s="1" t="str">
        <f>[1]code!E361</f>
        <v>حبة</v>
      </c>
      <c r="F364" s="2">
        <f>[1]code!F361</f>
        <v>0</v>
      </c>
      <c r="G364" s="12">
        <f>[1]code!G361</f>
        <v>0</v>
      </c>
      <c r="I364" s="10">
        <v>0</v>
      </c>
      <c r="J364" s="10">
        <v>0</v>
      </c>
      <c r="K364" s="10">
        <v>0</v>
      </c>
      <c r="L364" s="10">
        <v>0</v>
      </c>
      <c r="M364" s="10" t="str">
        <f>IFERROR(VLOOKUP($B364,[1]INV!$B$7:$H$2575,7,0),"")</f>
        <v/>
      </c>
      <c r="N364" s="10"/>
      <c r="O364" s="10"/>
      <c r="P364" s="10"/>
      <c r="Q364" s="10"/>
      <c r="R364" s="10"/>
      <c r="S364" s="10"/>
      <c r="T364" s="10"/>
      <c r="U364" s="1">
        <f t="shared" si="20"/>
        <v>0</v>
      </c>
      <c r="V364" s="1">
        <f t="shared" si="21"/>
        <v>0</v>
      </c>
      <c r="W364" s="1">
        <f t="shared" si="22"/>
        <v>0</v>
      </c>
      <c r="X364" s="1">
        <f t="shared" si="23"/>
        <v>0</v>
      </c>
    </row>
    <row r="365" spans="2:24" x14ac:dyDescent="0.25">
      <c r="B365" s="11">
        <f>[1]code!B362</f>
        <v>447</v>
      </c>
      <c r="C365" s="2" t="str">
        <f>[1]code!C362</f>
        <v>كابتن أوردر الفرندة - المشربية</v>
      </c>
      <c r="D365" s="2" t="str">
        <f>[1]code!D362</f>
        <v>مطبوعات (المشربية)</v>
      </c>
      <c r="E365" s="1" t="str">
        <f>[1]code!E362</f>
        <v>حبة</v>
      </c>
      <c r="F365" s="2">
        <f>[1]code!F362</f>
        <v>0</v>
      </c>
      <c r="G365" s="12">
        <f>[1]code!G362</f>
        <v>0</v>
      </c>
      <c r="I365" s="10">
        <v>0</v>
      </c>
      <c r="J365" s="10">
        <v>0</v>
      </c>
      <c r="K365" s="10">
        <v>0</v>
      </c>
      <c r="L365" s="10">
        <v>0</v>
      </c>
      <c r="M365" s="10" t="str">
        <f>IFERROR(VLOOKUP($B365,[1]INV!$B$7:$H$2575,7,0),"")</f>
        <v/>
      </c>
      <c r="N365" s="10"/>
      <c r="O365" s="10"/>
      <c r="P365" s="10"/>
      <c r="Q365" s="10"/>
      <c r="R365" s="10"/>
      <c r="S365" s="10"/>
      <c r="T365" s="10"/>
      <c r="U365" s="1">
        <f t="shared" si="20"/>
        <v>0</v>
      </c>
      <c r="V365" s="1">
        <f t="shared" si="21"/>
        <v>0</v>
      </c>
      <c r="W365" s="1">
        <f t="shared" si="22"/>
        <v>0</v>
      </c>
      <c r="X365" s="1">
        <f t="shared" si="23"/>
        <v>0</v>
      </c>
    </row>
    <row r="366" spans="2:24" x14ac:dyDescent="0.25">
      <c r="B366" s="11">
        <f>[1]code!B363</f>
        <v>448</v>
      </c>
      <c r="C366" s="2" t="str">
        <f>[1]code!C363</f>
        <v>فواتير صرف مطبوع - المشربية</v>
      </c>
      <c r="D366" s="2" t="str">
        <f>[1]code!D363</f>
        <v>مطبوعات (المشربية)</v>
      </c>
      <c r="E366" s="1" t="str">
        <f>[1]code!E363</f>
        <v>كرتون</v>
      </c>
      <c r="F366" s="2">
        <f>[1]code!F363</f>
        <v>0</v>
      </c>
      <c r="G366" s="12">
        <f>[1]code!G363</f>
        <v>0</v>
      </c>
      <c r="I366" s="10">
        <v>0</v>
      </c>
      <c r="J366" s="10">
        <v>0</v>
      </c>
      <c r="K366" s="10">
        <v>0</v>
      </c>
      <c r="L366" s="10">
        <v>0</v>
      </c>
      <c r="M366" s="10" t="str">
        <f>IFERROR(VLOOKUP($B366,[1]INV!$B$7:$H$2575,7,0),"")</f>
        <v/>
      </c>
      <c r="N366" s="10"/>
      <c r="O366" s="10"/>
      <c r="P366" s="10"/>
      <c r="Q366" s="10"/>
      <c r="R366" s="10"/>
      <c r="S366" s="10"/>
      <c r="T366" s="10"/>
      <c r="U366" s="1">
        <f t="shared" si="20"/>
        <v>0</v>
      </c>
      <c r="V366" s="1">
        <f t="shared" si="21"/>
        <v>0</v>
      </c>
      <c r="W366" s="1">
        <f t="shared" si="22"/>
        <v>0</v>
      </c>
      <c r="X366" s="1">
        <f t="shared" si="23"/>
        <v>0</v>
      </c>
    </row>
    <row r="367" spans="2:24" x14ac:dyDescent="0.25">
      <c r="B367" s="11">
        <f>[1]code!B364</f>
        <v>493</v>
      </c>
      <c r="C367" s="2" t="str">
        <f>[1]code!C364</f>
        <v>دفتر أذن - المشربية</v>
      </c>
      <c r="D367" s="2" t="str">
        <f>[1]code!D364</f>
        <v>مطبوعات (المشربية)</v>
      </c>
      <c r="E367" s="1" t="str">
        <f>[1]code!E364</f>
        <v>حبة</v>
      </c>
      <c r="F367" s="2">
        <f>[1]code!F364</f>
        <v>0</v>
      </c>
      <c r="G367" s="12">
        <f>[1]code!G364</f>
        <v>0</v>
      </c>
      <c r="I367" s="10">
        <v>0</v>
      </c>
      <c r="J367" s="10">
        <v>0</v>
      </c>
      <c r="K367" s="10">
        <v>0</v>
      </c>
      <c r="L367" s="10">
        <v>0</v>
      </c>
      <c r="M367" s="10" t="str">
        <f>IFERROR(VLOOKUP($B367,[1]INV!$B$7:$H$2575,7,0),"")</f>
        <v/>
      </c>
      <c r="N367" s="10"/>
      <c r="O367" s="10"/>
      <c r="P367" s="10"/>
      <c r="Q367" s="10"/>
      <c r="R367" s="10"/>
      <c r="S367" s="10"/>
      <c r="T367" s="10"/>
      <c r="U367" s="1">
        <f t="shared" si="20"/>
        <v>0</v>
      </c>
      <c r="V367" s="1">
        <f t="shared" si="21"/>
        <v>0</v>
      </c>
      <c r="W367" s="1">
        <f t="shared" si="22"/>
        <v>0</v>
      </c>
      <c r="X367" s="1">
        <f t="shared" si="23"/>
        <v>0</v>
      </c>
    </row>
    <row r="368" spans="2:24" x14ac:dyDescent="0.25">
      <c r="B368" s="11">
        <f>[1]code!B365</f>
        <v>503</v>
      </c>
      <c r="C368" s="2" t="str">
        <f>[1]code!C365</f>
        <v>سند قبض - المشربية</v>
      </c>
      <c r="D368" s="2" t="str">
        <f>[1]code!D365</f>
        <v>مطبوعات (المشربية)</v>
      </c>
      <c r="E368" s="1" t="str">
        <f>[1]code!E365</f>
        <v>حبة</v>
      </c>
      <c r="F368" s="2">
        <f>[1]code!F365</f>
        <v>0</v>
      </c>
      <c r="G368" s="12">
        <f>[1]code!G365</f>
        <v>0</v>
      </c>
      <c r="I368" s="10">
        <v>0</v>
      </c>
      <c r="J368" s="10">
        <v>0</v>
      </c>
      <c r="K368" s="10">
        <v>0</v>
      </c>
      <c r="L368" s="10">
        <v>0</v>
      </c>
      <c r="M368" s="10" t="str">
        <f>IFERROR(VLOOKUP($B368,[1]INV!$B$7:$H$2575,7,0),"")</f>
        <v/>
      </c>
      <c r="N368" s="10"/>
      <c r="O368" s="10"/>
      <c r="P368" s="10"/>
      <c r="Q368" s="10"/>
      <c r="R368" s="10"/>
      <c r="S368" s="10"/>
      <c r="T368" s="10"/>
      <c r="U368" s="1">
        <f t="shared" si="20"/>
        <v>0</v>
      </c>
      <c r="V368" s="1">
        <f t="shared" si="21"/>
        <v>0</v>
      </c>
      <c r="W368" s="1">
        <f t="shared" si="22"/>
        <v>0</v>
      </c>
      <c r="X368" s="1">
        <f t="shared" si="23"/>
        <v>0</v>
      </c>
    </row>
    <row r="369" spans="2:24" x14ac:dyDescent="0.25">
      <c r="B369" s="11">
        <f>[1]code!B366</f>
        <v>504</v>
      </c>
      <c r="C369" s="2" t="str">
        <f>[1]code!C366</f>
        <v>سند صرف - المشربية</v>
      </c>
      <c r="D369" s="2" t="str">
        <f>[1]code!D366</f>
        <v>مطبوعات (المشربية)</v>
      </c>
      <c r="E369" s="1" t="str">
        <f>[1]code!E366</f>
        <v>حبة</v>
      </c>
      <c r="F369" s="2">
        <f>[1]code!F366</f>
        <v>0</v>
      </c>
      <c r="G369" s="12">
        <f>[1]code!G366</f>
        <v>0</v>
      </c>
      <c r="I369" s="10">
        <v>0</v>
      </c>
      <c r="J369" s="10">
        <v>0</v>
      </c>
      <c r="K369" s="10">
        <v>0</v>
      </c>
      <c r="L369" s="10">
        <v>0</v>
      </c>
      <c r="M369" s="10" t="str">
        <f>IFERROR(VLOOKUP($B369,[1]INV!$B$7:$H$2575,7,0),"")</f>
        <v/>
      </c>
      <c r="N369" s="10"/>
      <c r="O369" s="10"/>
      <c r="P369" s="10"/>
      <c r="Q369" s="10"/>
      <c r="R369" s="10"/>
      <c r="S369" s="10"/>
      <c r="T369" s="10"/>
      <c r="U369" s="1">
        <f t="shared" si="20"/>
        <v>0</v>
      </c>
      <c r="V369" s="1">
        <f t="shared" si="21"/>
        <v>0</v>
      </c>
      <c r="W369" s="1">
        <f t="shared" si="22"/>
        <v>0</v>
      </c>
      <c r="X369" s="1">
        <f t="shared" si="23"/>
        <v>0</v>
      </c>
    </row>
    <row r="370" spans="2:24" x14ac:dyDescent="0.25">
      <c r="B370" s="11">
        <f>[1]code!B367</f>
        <v>846</v>
      </c>
      <c r="C370" s="2" t="str">
        <f>[1]code!C367</f>
        <v>استيكر عصير</v>
      </c>
      <c r="D370" s="2" t="str">
        <f>[1]code!D367</f>
        <v>مطبوعات (المشربية)</v>
      </c>
      <c r="E370" s="1" t="str">
        <f>[1]code!E367</f>
        <v>حبة</v>
      </c>
      <c r="F370" s="2">
        <f>[1]code!F367</f>
        <v>0</v>
      </c>
      <c r="G370" s="12">
        <f>[1]code!G367</f>
        <v>0</v>
      </c>
      <c r="I370" s="10">
        <v>0</v>
      </c>
      <c r="J370" s="10">
        <v>0</v>
      </c>
      <c r="K370" s="10">
        <v>0</v>
      </c>
      <c r="L370" s="10">
        <v>0</v>
      </c>
      <c r="M370" s="10" t="str">
        <f>IFERROR(VLOOKUP($B370,[1]INV!$B$7:$H$2575,7,0),"")</f>
        <v/>
      </c>
      <c r="N370" s="10"/>
      <c r="O370" s="10"/>
      <c r="P370" s="10"/>
      <c r="Q370" s="10"/>
      <c r="R370" s="10"/>
      <c r="S370" s="10"/>
      <c r="T370" s="10"/>
      <c r="U370" s="1">
        <f t="shared" si="20"/>
        <v>0</v>
      </c>
      <c r="V370" s="1">
        <f t="shared" si="21"/>
        <v>0</v>
      </c>
      <c r="W370" s="1">
        <f t="shared" si="22"/>
        <v>0</v>
      </c>
      <c r="X370" s="1">
        <f t="shared" si="23"/>
        <v>0</v>
      </c>
    </row>
    <row r="371" spans="2:24" x14ac:dyDescent="0.25">
      <c r="B371" s="11">
        <f>[1]code!B368</f>
        <v>845</v>
      </c>
      <c r="C371" s="2" t="str">
        <f>[1]code!C368</f>
        <v>كروت كبون</v>
      </c>
      <c r="D371" s="2" t="str">
        <f>[1]code!D368</f>
        <v>مطبوعات (المشربية)</v>
      </c>
      <c r="E371" s="1" t="str">
        <f>[1]code!E368</f>
        <v>حبة</v>
      </c>
      <c r="F371" s="2">
        <f>[1]code!F368</f>
        <v>0</v>
      </c>
      <c r="G371" s="12">
        <f>[1]code!G368</f>
        <v>0</v>
      </c>
      <c r="I371" s="10">
        <v>0</v>
      </c>
      <c r="J371" s="10">
        <v>0</v>
      </c>
      <c r="K371" s="10">
        <v>0</v>
      </c>
      <c r="L371" s="10">
        <v>0</v>
      </c>
      <c r="M371" s="10" t="str">
        <f>IFERROR(VLOOKUP($B371,[1]INV!$B$7:$H$2575,7,0),"")</f>
        <v/>
      </c>
      <c r="N371" s="10"/>
      <c r="O371" s="10"/>
      <c r="P371" s="10"/>
      <c r="Q371" s="10"/>
      <c r="R371" s="10"/>
      <c r="S371" s="10"/>
      <c r="T371" s="10"/>
      <c r="U371" s="1">
        <f t="shared" si="20"/>
        <v>0</v>
      </c>
      <c r="V371" s="1">
        <f t="shared" si="21"/>
        <v>0</v>
      </c>
      <c r="W371" s="1">
        <f t="shared" si="22"/>
        <v>0</v>
      </c>
      <c r="X371" s="1">
        <f t="shared" si="23"/>
        <v>0</v>
      </c>
    </row>
    <row r="372" spans="2:24" x14ac:dyDescent="0.25">
      <c r="B372" s="11">
        <f>[1]code!B369</f>
        <v>20</v>
      </c>
      <c r="C372" s="2" t="str">
        <f>[1]code!C369</f>
        <v>نفايات 55 نابكو</v>
      </c>
      <c r="D372" s="2" t="str">
        <f>[1]code!D369</f>
        <v>منظفات</v>
      </c>
      <c r="E372" s="1" t="str">
        <f>[1]code!E369</f>
        <v>كيلو</v>
      </c>
      <c r="F372" s="2" t="str">
        <f>[1]code!F369</f>
        <v>واد العطاء</v>
      </c>
      <c r="G372" s="12">
        <f>[1]code!G369</f>
        <v>4.678735616438356</v>
      </c>
      <c r="I372" s="10">
        <v>4.678735616438356</v>
      </c>
      <c r="J372" s="10">
        <v>4.5996461538461535</v>
      </c>
      <c r="K372" s="10">
        <v>4.9910000000000005</v>
      </c>
      <c r="L372" s="10">
        <v>4.9832636363636365</v>
      </c>
      <c r="M372" s="10">
        <f>IFERROR(VLOOKUP($B372,[1]INV!$B$7:$H$2575,7,0),"")</f>
        <v>4.9832375000000004</v>
      </c>
      <c r="N372" s="10"/>
      <c r="O372" s="10"/>
      <c r="P372" s="10"/>
      <c r="Q372" s="10"/>
      <c r="R372" s="10"/>
      <c r="S372" s="10"/>
      <c r="T372" s="10"/>
      <c r="U372" s="1">
        <f t="shared" si="20"/>
        <v>4.678735616438356</v>
      </c>
      <c r="V372" s="1">
        <f t="shared" si="21"/>
        <v>4.5996461538461535</v>
      </c>
      <c r="W372" s="1">
        <f t="shared" si="22"/>
        <v>4.9910000000000005</v>
      </c>
      <c r="X372" s="1">
        <f t="shared" si="23"/>
        <v>4.9832636363636365</v>
      </c>
    </row>
    <row r="373" spans="2:24" x14ac:dyDescent="0.25">
      <c r="B373" s="11">
        <f>[1]code!B370</f>
        <v>29</v>
      </c>
      <c r="C373" s="2" t="str">
        <f>[1]code!C370</f>
        <v>ماكسي رول</v>
      </c>
      <c r="D373" s="2" t="str">
        <f>[1]code!D370</f>
        <v>منظفات</v>
      </c>
      <c r="E373" s="1" t="str">
        <f>[1]code!E370</f>
        <v>رول</v>
      </c>
      <c r="F373" s="2" t="str">
        <f>[1]code!F370</f>
        <v>واد العطاء</v>
      </c>
      <c r="G373" s="12">
        <f>[1]code!G370</f>
        <v>5.7757593065945327</v>
      </c>
      <c r="I373" s="10">
        <v>5.7757593065945327</v>
      </c>
      <c r="J373" s="10">
        <v>5.4625000000000004</v>
      </c>
      <c r="K373" s="10">
        <v>5.4625000000000004</v>
      </c>
      <c r="L373" s="10">
        <v>6.5805557599999993</v>
      </c>
      <c r="M373" s="10">
        <f>IFERROR(VLOOKUP($B373,[1]INV!$B$7:$H$2575,7,0),"")</f>
        <v>6.9886561538461534</v>
      </c>
      <c r="N373" s="10"/>
      <c r="O373" s="10"/>
      <c r="P373" s="10"/>
      <c r="Q373" s="10"/>
      <c r="R373" s="10"/>
      <c r="S373" s="10"/>
      <c r="T373" s="10"/>
      <c r="U373" s="1">
        <f t="shared" si="20"/>
        <v>5.7757593065945327</v>
      </c>
      <c r="V373" s="1">
        <f t="shared" si="21"/>
        <v>5.4625000000000004</v>
      </c>
      <c r="W373" s="1">
        <f t="shared" si="22"/>
        <v>5.4625000000000004</v>
      </c>
      <c r="X373" s="1">
        <f t="shared" si="23"/>
        <v>6.5805557599999993</v>
      </c>
    </row>
    <row r="374" spans="2:24" x14ac:dyDescent="0.25">
      <c r="B374" s="11">
        <f>[1]code!B371</f>
        <v>30</v>
      </c>
      <c r="C374" s="2" t="str">
        <f>[1]code!C371</f>
        <v>مناديل أوتوكت</v>
      </c>
      <c r="D374" s="2" t="str">
        <f>[1]code!D371</f>
        <v>منظفات</v>
      </c>
      <c r="E374" s="1" t="str">
        <f>[1]code!E371</f>
        <v>رول</v>
      </c>
      <c r="F374" s="2" t="str">
        <f>[1]code!F371</f>
        <v>شركة نابكو الوطنية</v>
      </c>
      <c r="G374" s="12">
        <f>[1]code!G371</f>
        <v>9.2000000000000011</v>
      </c>
      <c r="I374" s="10">
        <v>9.2000000000000011</v>
      </c>
      <c r="J374" s="10">
        <v>9.2000000000000011</v>
      </c>
      <c r="K374" s="10">
        <v>9.2000000000000011</v>
      </c>
      <c r="L374" s="10">
        <v>10.541681115384616</v>
      </c>
      <c r="M374" s="10">
        <f>IFERROR(VLOOKUP($B374,[1]INV!$B$7:$H$2575,7,0),"")</f>
        <v>10.541688828125002</v>
      </c>
      <c r="N374" s="10"/>
      <c r="O374" s="10"/>
      <c r="P374" s="10"/>
      <c r="Q374" s="10"/>
      <c r="R374" s="10"/>
      <c r="S374" s="10"/>
      <c r="T374" s="10"/>
      <c r="U374" s="1">
        <f t="shared" si="20"/>
        <v>9.2000000000000011</v>
      </c>
      <c r="V374" s="1">
        <f t="shared" si="21"/>
        <v>9.2000000000000011</v>
      </c>
      <c r="W374" s="1">
        <f t="shared" si="22"/>
        <v>9.2000000000000011</v>
      </c>
      <c r="X374" s="1">
        <f t="shared" si="23"/>
        <v>10.541681115384616</v>
      </c>
    </row>
    <row r="375" spans="2:24" x14ac:dyDescent="0.25">
      <c r="B375" s="11">
        <f>[1]code!B372</f>
        <v>33</v>
      </c>
      <c r="C375" s="2" t="str">
        <f>[1]code!C372</f>
        <v>صابون رغوة جالون</v>
      </c>
      <c r="D375" s="2" t="str">
        <f>[1]code!D372</f>
        <v>منظفات</v>
      </c>
      <c r="E375" s="1" t="str">
        <f>[1]code!E372</f>
        <v>لتر</v>
      </c>
      <c r="F375" s="2" t="str">
        <f>[1]code!F372</f>
        <v>شركة نابكو الوطنية</v>
      </c>
      <c r="G375" s="12">
        <f>[1]code!G372</f>
        <v>6.3250000000000002</v>
      </c>
      <c r="I375" s="10">
        <v>6.3250000000000002</v>
      </c>
      <c r="J375" s="10">
        <v>6.3250000000000002</v>
      </c>
      <c r="K375" s="10">
        <v>6.3250000000000002</v>
      </c>
      <c r="L375" s="10">
        <v>11.2125</v>
      </c>
      <c r="M375" s="10">
        <f>IFERROR(VLOOKUP($B375,[1]INV!$B$7:$H$2575,7,0),"")</f>
        <v>6.8336538461538465</v>
      </c>
      <c r="N375" s="10"/>
      <c r="O375" s="10"/>
      <c r="P375" s="10"/>
      <c r="Q375" s="10"/>
      <c r="R375" s="10"/>
      <c r="S375" s="10"/>
      <c r="T375" s="10"/>
      <c r="U375" s="1">
        <f t="shared" si="20"/>
        <v>6.3250000000000002</v>
      </c>
      <c r="V375" s="1">
        <f t="shared" si="21"/>
        <v>6.3250000000000002</v>
      </c>
      <c r="W375" s="1">
        <f t="shared" si="22"/>
        <v>6.3250000000000002</v>
      </c>
      <c r="X375" s="1">
        <f t="shared" si="23"/>
        <v>11.2125</v>
      </c>
    </row>
    <row r="376" spans="2:24" x14ac:dyDescent="0.25">
      <c r="B376" s="11">
        <f>[1]code!B373</f>
        <v>35</v>
      </c>
      <c r="C376" s="2" t="str">
        <f>[1]code!C373</f>
        <v xml:space="preserve">معقم أسطح </v>
      </c>
      <c r="D376" s="2" t="str">
        <f>[1]code!D373</f>
        <v>منظفات</v>
      </c>
      <c r="E376" s="1" t="str">
        <f>[1]code!E373</f>
        <v>لتر</v>
      </c>
      <c r="F376" s="2">
        <f>[1]code!F373</f>
        <v>0</v>
      </c>
      <c r="G376" s="12">
        <f>[1]code!G373</f>
        <v>0</v>
      </c>
      <c r="I376" s="10">
        <v>0</v>
      </c>
      <c r="J376" s="10">
        <v>0</v>
      </c>
      <c r="K376" s="10">
        <v>0</v>
      </c>
      <c r="L376" s="10">
        <v>0</v>
      </c>
      <c r="M376" s="10" t="str">
        <f>IFERROR(VLOOKUP($B376,[1]INV!$B$7:$H$2575,7,0),"")</f>
        <v/>
      </c>
      <c r="N376" s="10"/>
      <c r="O376" s="10"/>
      <c r="P376" s="10"/>
      <c r="Q376" s="10"/>
      <c r="R376" s="10"/>
      <c r="S376" s="10"/>
      <c r="T376" s="10"/>
      <c r="U376" s="1">
        <f t="shared" si="20"/>
        <v>0</v>
      </c>
      <c r="V376" s="1">
        <f t="shared" si="21"/>
        <v>0</v>
      </c>
      <c r="W376" s="1">
        <f t="shared" si="22"/>
        <v>0</v>
      </c>
      <c r="X376" s="1">
        <f t="shared" si="23"/>
        <v>0</v>
      </c>
    </row>
    <row r="377" spans="2:24" x14ac:dyDescent="0.25">
      <c r="B377" s="11">
        <f>[1]code!B374</f>
        <v>36</v>
      </c>
      <c r="C377" s="2" t="str">
        <f>[1]code!C374</f>
        <v>منظف زجاج  جالون</v>
      </c>
      <c r="D377" s="2" t="str">
        <f>[1]code!D374</f>
        <v>منظفات</v>
      </c>
      <c r="E377" s="1" t="str">
        <f>[1]code!E374</f>
        <v>لتر</v>
      </c>
      <c r="F377" s="2" t="str">
        <f>[1]code!F374</f>
        <v>الظاهرى</v>
      </c>
      <c r="G377" s="12">
        <f>[1]code!G374</f>
        <v>0</v>
      </c>
      <c r="I377" s="10">
        <v>2.875</v>
      </c>
      <c r="J377" s="10">
        <v>2.875</v>
      </c>
      <c r="K377" s="10">
        <v>2.875</v>
      </c>
      <c r="L377" s="10">
        <v>2.875</v>
      </c>
      <c r="M377" s="10" t="str">
        <f>IFERROR(VLOOKUP($B377,[1]INV!$B$7:$H$2575,7,0),"")</f>
        <v/>
      </c>
      <c r="N377" s="10"/>
      <c r="O377" s="10"/>
      <c r="P377" s="10"/>
      <c r="Q377" s="10"/>
      <c r="R377" s="10"/>
      <c r="S377" s="10"/>
      <c r="T377" s="10"/>
      <c r="U377" s="1">
        <f t="shared" si="20"/>
        <v>2.875</v>
      </c>
      <c r="V377" s="1">
        <f t="shared" si="21"/>
        <v>2.875</v>
      </c>
      <c r="W377" s="1">
        <f t="shared" si="22"/>
        <v>2.875</v>
      </c>
      <c r="X377" s="1">
        <f t="shared" si="23"/>
        <v>2.875</v>
      </c>
    </row>
    <row r="378" spans="2:24" x14ac:dyDescent="0.25">
      <c r="B378" s="11">
        <f>[1]code!B375</f>
        <v>37</v>
      </c>
      <c r="C378" s="2" t="str">
        <f>[1]code!C375</f>
        <v>مزيل دهون  جالون</v>
      </c>
      <c r="D378" s="2" t="str">
        <f>[1]code!D375</f>
        <v>منظفات</v>
      </c>
      <c r="E378" s="1" t="str">
        <f>[1]code!E375</f>
        <v>لتر</v>
      </c>
      <c r="F378" s="2">
        <f>[1]code!F375</f>
        <v>0</v>
      </c>
      <c r="G378" s="12">
        <f>[1]code!G375</f>
        <v>0</v>
      </c>
      <c r="I378" s="10">
        <v>0</v>
      </c>
      <c r="J378" s="10">
        <v>0</v>
      </c>
      <c r="K378" s="10">
        <v>0</v>
      </c>
      <c r="L378" s="10">
        <v>0</v>
      </c>
      <c r="M378" s="10" t="str">
        <f>IFERROR(VLOOKUP($B378,[1]INV!$B$7:$H$2575,7,0),"")</f>
        <v/>
      </c>
      <c r="N378" s="10"/>
      <c r="O378" s="10"/>
      <c r="P378" s="10"/>
      <c r="Q378" s="10"/>
      <c r="R378" s="10"/>
      <c r="S378" s="10"/>
      <c r="T378" s="10"/>
      <c r="U378" s="1">
        <f t="shared" si="20"/>
        <v>0</v>
      </c>
      <c r="V378" s="1">
        <f t="shared" si="21"/>
        <v>0</v>
      </c>
      <c r="W378" s="1">
        <f t="shared" si="22"/>
        <v>0</v>
      </c>
      <c r="X378" s="1">
        <f t="shared" si="23"/>
        <v>0</v>
      </c>
    </row>
    <row r="379" spans="2:24" x14ac:dyDescent="0.25">
      <c r="B379" s="11">
        <f>[1]code!B376</f>
        <v>39</v>
      </c>
      <c r="C379" s="2" t="str">
        <f>[1]code!C376</f>
        <v>منظف أفران  جالون</v>
      </c>
      <c r="D379" s="2" t="str">
        <f>[1]code!D376</f>
        <v>منظفات</v>
      </c>
      <c r="E379" s="1" t="str">
        <f>[1]code!E376</f>
        <v>لتر</v>
      </c>
      <c r="F379" s="2" t="str">
        <f>[1]code!F376</f>
        <v>شركة نابكو الوطنية</v>
      </c>
      <c r="G379" s="12">
        <f>[1]code!G376</f>
        <v>11.5</v>
      </c>
      <c r="I379" s="10">
        <v>11.5</v>
      </c>
      <c r="J379" s="10">
        <v>11.5</v>
      </c>
      <c r="K379" s="10">
        <v>11.73</v>
      </c>
      <c r="L379" s="10">
        <v>12.65</v>
      </c>
      <c r="M379" s="10">
        <f>IFERROR(VLOOKUP($B379,[1]INV!$B$7:$H$2575,7,0),"")</f>
        <v>12.65</v>
      </c>
      <c r="N379" s="10"/>
      <c r="O379" s="10"/>
      <c r="P379" s="10"/>
      <c r="Q379" s="10"/>
      <c r="R379" s="10"/>
      <c r="S379" s="10"/>
      <c r="T379" s="10"/>
      <c r="U379" s="1">
        <f t="shared" si="20"/>
        <v>11.5</v>
      </c>
      <c r="V379" s="1">
        <f t="shared" si="21"/>
        <v>11.5</v>
      </c>
      <c r="W379" s="1">
        <f t="shared" si="22"/>
        <v>11.73</v>
      </c>
      <c r="X379" s="1">
        <f t="shared" si="23"/>
        <v>12.65</v>
      </c>
    </row>
    <row r="380" spans="2:24" x14ac:dyDescent="0.25">
      <c r="B380" s="11">
        <f>[1]code!B377</f>
        <v>41</v>
      </c>
      <c r="C380" s="2" t="str">
        <f>[1]code!C377</f>
        <v>ملمع استيل جالون</v>
      </c>
      <c r="D380" s="2" t="str">
        <f>[1]code!D377</f>
        <v>منظفات</v>
      </c>
      <c r="E380" s="1" t="str">
        <f>[1]code!E377</f>
        <v>لتر</v>
      </c>
      <c r="F380" s="2">
        <f>[1]code!F377</f>
        <v>0</v>
      </c>
      <c r="G380" s="12">
        <f>[1]code!G377</f>
        <v>0</v>
      </c>
      <c r="I380" s="10">
        <v>0</v>
      </c>
      <c r="J380" s="10">
        <v>0</v>
      </c>
      <c r="K380" s="10">
        <v>0</v>
      </c>
      <c r="L380" s="10">
        <v>0</v>
      </c>
      <c r="M380" s="10" t="str">
        <f>IFERROR(VLOOKUP($B380,[1]INV!$B$7:$H$2575,7,0),"")</f>
        <v/>
      </c>
      <c r="N380" s="10"/>
      <c r="O380" s="10"/>
      <c r="P380" s="10"/>
      <c r="Q380" s="10"/>
      <c r="R380" s="10"/>
      <c r="S380" s="10"/>
      <c r="T380" s="10"/>
      <c r="U380" s="1">
        <f t="shared" si="20"/>
        <v>0</v>
      </c>
      <c r="V380" s="1">
        <f t="shared" si="21"/>
        <v>0</v>
      </c>
      <c r="W380" s="1">
        <f t="shared" si="22"/>
        <v>0</v>
      </c>
      <c r="X380" s="1">
        <f t="shared" si="23"/>
        <v>0</v>
      </c>
    </row>
    <row r="381" spans="2:24" x14ac:dyDescent="0.25">
      <c r="B381" s="11">
        <f>[1]code!B378</f>
        <v>42</v>
      </c>
      <c r="C381" s="2" t="str">
        <f>[1]code!C378</f>
        <v>معقم اليدين جالون</v>
      </c>
      <c r="D381" s="2" t="str">
        <f>[1]code!D378</f>
        <v>منظفات</v>
      </c>
      <c r="E381" s="1" t="str">
        <f>[1]code!E378</f>
        <v>لتر</v>
      </c>
      <c r="F381" s="2">
        <f>[1]code!F378</f>
        <v>0</v>
      </c>
      <c r="G381" s="12">
        <f>[1]code!G378</f>
        <v>14.95</v>
      </c>
      <c r="I381" s="10">
        <v>0</v>
      </c>
      <c r="J381" s="10">
        <v>9.5</v>
      </c>
      <c r="K381" s="10">
        <v>9.5</v>
      </c>
      <c r="L381" s="10">
        <v>9.5</v>
      </c>
      <c r="M381" s="10">
        <f>IFERROR(VLOOKUP($B381,[1]INV!$B$7:$H$2575,7,0),"")</f>
        <v>13</v>
      </c>
      <c r="N381" s="10"/>
      <c r="O381" s="10"/>
      <c r="P381" s="10"/>
      <c r="Q381" s="10"/>
      <c r="R381" s="10"/>
      <c r="S381" s="10"/>
      <c r="T381" s="10"/>
      <c r="U381" s="1">
        <f t="shared" si="20"/>
        <v>0</v>
      </c>
      <c r="V381" s="1">
        <f t="shared" si="21"/>
        <v>9.5</v>
      </c>
      <c r="W381" s="1">
        <f t="shared" si="22"/>
        <v>9.5</v>
      </c>
      <c r="X381" s="1">
        <f t="shared" si="23"/>
        <v>9.5</v>
      </c>
    </row>
    <row r="382" spans="2:24" x14ac:dyDescent="0.25">
      <c r="B382" s="11">
        <f>[1]code!B379</f>
        <v>72</v>
      </c>
      <c r="C382" s="2" t="str">
        <f>[1]code!C379</f>
        <v>مريلة بلاستيك</v>
      </c>
      <c r="D382" s="2" t="str">
        <f>[1]code!D379</f>
        <v>منظفات</v>
      </c>
      <c r="E382" s="1" t="str">
        <f>[1]code!E379</f>
        <v>كيلو</v>
      </c>
      <c r="F382" s="2" t="str">
        <f>[1]code!F379</f>
        <v>واد العطاء</v>
      </c>
      <c r="G382" s="12">
        <f>[1]code!G379</f>
        <v>14.375</v>
      </c>
      <c r="I382" s="10">
        <v>14.375</v>
      </c>
      <c r="J382" s="10">
        <v>16.385774999999999</v>
      </c>
      <c r="K382" s="10">
        <v>16.35622</v>
      </c>
      <c r="L382" s="10">
        <v>16.387499999999999</v>
      </c>
      <c r="M382" s="10">
        <f>IFERROR(VLOOKUP($B382,[1]INV!$B$7:$H$2575,7,0),"")</f>
        <v>13.861360714285716</v>
      </c>
      <c r="N382" s="10"/>
      <c r="O382" s="10"/>
      <c r="P382" s="10"/>
      <c r="Q382" s="10"/>
      <c r="R382" s="10"/>
      <c r="S382" s="10"/>
      <c r="T382" s="10"/>
      <c r="U382" s="1">
        <f t="shared" si="20"/>
        <v>14.375</v>
      </c>
      <c r="V382" s="1">
        <f t="shared" si="21"/>
        <v>16.385774999999999</v>
      </c>
      <c r="W382" s="1">
        <f t="shared" si="22"/>
        <v>16.35622</v>
      </c>
      <c r="X382" s="1">
        <f t="shared" si="23"/>
        <v>16.387499999999999</v>
      </c>
    </row>
    <row r="383" spans="2:24" x14ac:dyDescent="0.25">
      <c r="B383" s="11">
        <f>[1]code!B380</f>
        <v>109</v>
      </c>
      <c r="C383" s="2" t="str">
        <f>[1]code!C380</f>
        <v>حبيبات كلور</v>
      </c>
      <c r="D383" s="2" t="str">
        <f>[1]code!D380</f>
        <v>منظفات</v>
      </c>
      <c r="E383" s="1" t="str">
        <f>[1]code!E380</f>
        <v>حبة</v>
      </c>
      <c r="F383" s="2" t="str">
        <f>[1]code!F380</f>
        <v>شركة نابكو الوطنية</v>
      </c>
      <c r="G383" s="12">
        <f>[1]code!G380</f>
        <v>0.51749999999999996</v>
      </c>
      <c r="I383" s="10">
        <v>0.51749999999999996</v>
      </c>
      <c r="J383" s="10">
        <v>0.51749999999999996</v>
      </c>
      <c r="K383" s="10">
        <v>0.51749999999999996</v>
      </c>
      <c r="L383" s="10">
        <v>0.51749999999999996</v>
      </c>
      <c r="M383" s="10">
        <f>IFERROR(VLOOKUP($B383,[1]INV!$B$7:$H$2575,7,0),"")</f>
        <v>0.51749999999999996</v>
      </c>
      <c r="N383" s="10"/>
      <c r="O383" s="10"/>
      <c r="P383" s="10"/>
      <c r="Q383" s="10"/>
      <c r="R383" s="10"/>
      <c r="S383" s="10"/>
      <c r="T383" s="10"/>
      <c r="U383" s="1">
        <f t="shared" si="20"/>
        <v>0.51749999999999996</v>
      </c>
      <c r="V383" s="1">
        <f t="shared" si="21"/>
        <v>0.51749999999999996</v>
      </c>
      <c r="W383" s="1">
        <f t="shared" si="22"/>
        <v>0.51749999999999996</v>
      </c>
      <c r="X383" s="1">
        <f t="shared" si="23"/>
        <v>0.51749999999999996</v>
      </c>
    </row>
    <row r="384" spans="2:24" x14ac:dyDescent="0.25">
      <c r="B384" s="11">
        <f>[1]code!B381</f>
        <v>150</v>
      </c>
      <c r="C384" s="2" t="str">
        <f>[1]code!C381</f>
        <v>منظف أرضيات SH30</v>
      </c>
      <c r="D384" s="2" t="str">
        <f>[1]code!D381</f>
        <v>منظفات</v>
      </c>
      <c r="E384" s="1" t="str">
        <f>[1]code!E381</f>
        <v>لتر</v>
      </c>
      <c r="F384" s="2" t="str">
        <f>[1]code!F381</f>
        <v>شركة نابكو الوطنية</v>
      </c>
      <c r="G384" s="12">
        <f>[1]code!G381</f>
        <v>0</v>
      </c>
      <c r="I384" s="10">
        <v>0</v>
      </c>
      <c r="J384" s="10">
        <v>0</v>
      </c>
      <c r="K384" s="10">
        <v>0</v>
      </c>
      <c r="L384" s="10">
        <v>0</v>
      </c>
      <c r="M384" s="10" t="str">
        <f>IFERROR(VLOOKUP($B384,[1]INV!$B$7:$H$2575,7,0),"")</f>
        <v/>
      </c>
      <c r="N384" s="10"/>
      <c r="O384" s="10"/>
      <c r="P384" s="10"/>
      <c r="Q384" s="10"/>
      <c r="R384" s="10"/>
      <c r="S384" s="10"/>
      <c r="T384" s="10"/>
      <c r="U384" s="1">
        <f t="shared" si="20"/>
        <v>0</v>
      </c>
      <c r="V384" s="1">
        <f t="shared" si="21"/>
        <v>0</v>
      </c>
      <c r="W384" s="1">
        <f t="shared" si="22"/>
        <v>0</v>
      </c>
      <c r="X384" s="1">
        <f t="shared" si="23"/>
        <v>0</v>
      </c>
    </row>
    <row r="385" spans="2:24" x14ac:dyDescent="0.25">
      <c r="B385" s="11">
        <f>[1]code!B382</f>
        <v>175</v>
      </c>
      <c r="C385" s="2" t="str">
        <f>[1]code!C382</f>
        <v>اكياس نفايات 70</v>
      </c>
      <c r="D385" s="2" t="str">
        <f>[1]code!D382</f>
        <v>منظفات</v>
      </c>
      <c r="E385" s="1" t="str">
        <f>[1]code!E382</f>
        <v>كيلو</v>
      </c>
      <c r="F385" s="2" t="str">
        <f>[1]code!F382</f>
        <v>واد العطاء</v>
      </c>
      <c r="G385" s="12">
        <f>[1]code!G382</f>
        <v>4.9087321944444451</v>
      </c>
      <c r="I385" s="10">
        <v>4.9087321944444451</v>
      </c>
      <c r="J385" s="10">
        <v>4.2549999999999999</v>
      </c>
      <c r="K385" s="10">
        <v>4.2549999999999999</v>
      </c>
      <c r="L385" s="10">
        <v>4.7380000000000004</v>
      </c>
      <c r="M385" s="10">
        <f>IFERROR(VLOOKUP($B385,[1]INV!$B$7:$H$2575,7,0),"")</f>
        <v>5.1749999999999998</v>
      </c>
      <c r="N385" s="10"/>
      <c r="O385" s="10"/>
      <c r="P385" s="10"/>
      <c r="Q385" s="10"/>
      <c r="R385" s="10"/>
      <c r="S385" s="10"/>
      <c r="T385" s="10"/>
      <c r="U385" s="1">
        <f t="shared" si="20"/>
        <v>4.9087321944444451</v>
      </c>
      <c r="V385" s="1">
        <f t="shared" si="21"/>
        <v>4.2549999999999999</v>
      </c>
      <c r="W385" s="1">
        <f t="shared" si="22"/>
        <v>4.2549999999999999</v>
      </c>
      <c r="X385" s="1">
        <f t="shared" si="23"/>
        <v>4.7380000000000004</v>
      </c>
    </row>
    <row r="386" spans="2:24" x14ac:dyDescent="0.25">
      <c r="B386" s="11">
        <f>[1]code!B383</f>
        <v>32</v>
      </c>
      <c r="C386" s="2" t="str">
        <f>[1]code!C383</f>
        <v>نفايات 30 جالون</v>
      </c>
      <c r="D386" s="2" t="str">
        <f>[1]code!D383</f>
        <v>منظفات</v>
      </c>
      <c r="E386" s="1" t="str">
        <f>[1]code!E383</f>
        <v>كيلو</v>
      </c>
      <c r="F386" s="2" t="str">
        <f>[1]code!F383</f>
        <v>واد العطاء</v>
      </c>
      <c r="G386" s="12">
        <f>[1]code!G383</f>
        <v>5.0069322916666676</v>
      </c>
      <c r="I386" s="10">
        <v>5.0069322916666676</v>
      </c>
      <c r="J386" s="10">
        <v>4.7276499999999997</v>
      </c>
      <c r="K386" s="10">
        <v>4.7642126892857144</v>
      </c>
      <c r="L386" s="10">
        <v>4.9781176845637587</v>
      </c>
      <c r="M386" s="10">
        <f>IFERROR(VLOOKUP($B386,[1]INV!$B$7:$H$2575,7,0),"")</f>
        <v>5.3072500000000007</v>
      </c>
      <c r="N386" s="10"/>
      <c r="O386" s="10"/>
      <c r="P386" s="10"/>
      <c r="Q386" s="10"/>
      <c r="R386" s="10"/>
      <c r="S386" s="10"/>
      <c r="T386" s="10"/>
      <c r="U386" s="1">
        <f t="shared" si="20"/>
        <v>5.0069322916666676</v>
      </c>
      <c r="V386" s="1">
        <f t="shared" si="21"/>
        <v>4.7276499999999997</v>
      </c>
      <c r="W386" s="1">
        <f t="shared" si="22"/>
        <v>4.7642126892857144</v>
      </c>
      <c r="X386" s="1">
        <f t="shared" si="23"/>
        <v>4.9781176845637587</v>
      </c>
    </row>
    <row r="387" spans="2:24" x14ac:dyDescent="0.25">
      <c r="B387" s="11">
        <f>[1]code!B384</f>
        <v>47</v>
      </c>
      <c r="C387" s="2" t="str">
        <f>[1]code!C384</f>
        <v>ليفة سلك استيل</v>
      </c>
      <c r="D387" s="2" t="str">
        <f>[1]code!D384</f>
        <v>منظفات</v>
      </c>
      <c r="E387" s="1" t="str">
        <f>[1]code!E384</f>
        <v>حبة</v>
      </c>
      <c r="F387" s="2" t="str">
        <f>[1]code!F384</f>
        <v>واد العطاء</v>
      </c>
      <c r="G387" s="12">
        <f>[1]code!G384</f>
        <v>1.1613039772727272</v>
      </c>
      <c r="I387" s="10">
        <v>1.1613039772727272</v>
      </c>
      <c r="J387" s="10">
        <v>1.1613039772727272</v>
      </c>
      <c r="K387" s="10">
        <v>1.2581</v>
      </c>
      <c r="L387" s="10">
        <v>1.2578125</v>
      </c>
      <c r="M387" s="10">
        <f>IFERROR(VLOOKUP($B387,[1]INV!$B$7:$H$2575,7,0),"")</f>
        <v>1.3705700000000001</v>
      </c>
      <c r="N387" s="10"/>
      <c r="O387" s="10"/>
      <c r="P387" s="10"/>
      <c r="Q387" s="10"/>
      <c r="R387" s="10"/>
      <c r="S387" s="10"/>
      <c r="T387" s="10"/>
      <c r="U387" s="1">
        <f t="shared" si="20"/>
        <v>1.1613039772727272</v>
      </c>
      <c r="V387" s="1">
        <f t="shared" si="21"/>
        <v>1.1613039772727272</v>
      </c>
      <c r="W387" s="1">
        <f t="shared" si="22"/>
        <v>1.2581</v>
      </c>
      <c r="X387" s="1">
        <f t="shared" si="23"/>
        <v>1.2578125</v>
      </c>
    </row>
    <row r="388" spans="2:24" x14ac:dyDescent="0.25">
      <c r="B388" s="11">
        <f>[1]code!B385</f>
        <v>143</v>
      </c>
      <c r="C388" s="2" t="str">
        <f>[1]code!C385</f>
        <v>صابون فيري 1 لتر</v>
      </c>
      <c r="D388" s="2" t="str">
        <f>[1]code!D385</f>
        <v>منظفات</v>
      </c>
      <c r="E388" s="1" t="str">
        <f>[1]code!E385</f>
        <v>لتر</v>
      </c>
      <c r="F388" s="2" t="str">
        <f>[1]code!F385</f>
        <v>واد العطاء</v>
      </c>
      <c r="G388" s="12">
        <f>[1]code!G385</f>
        <v>6.3333237858766216</v>
      </c>
      <c r="I388" s="10">
        <v>6.3333237858766216</v>
      </c>
      <c r="J388" s="10">
        <v>6.2921047727272725</v>
      </c>
      <c r="K388" s="10">
        <v>5.5636087931034481</v>
      </c>
      <c r="L388" s="10">
        <v>5.6234218867924533</v>
      </c>
      <c r="M388" s="10">
        <f>IFERROR(VLOOKUP($B388,[1]INV!$B$7:$H$2575,7,0),"")</f>
        <v>6.2296969444444441</v>
      </c>
      <c r="N388" s="10"/>
      <c r="O388" s="10"/>
      <c r="P388" s="10"/>
      <c r="Q388" s="10"/>
      <c r="R388" s="10"/>
      <c r="S388" s="10"/>
      <c r="T388" s="10"/>
      <c r="U388" s="1">
        <f t="shared" si="20"/>
        <v>6.3333237858766216</v>
      </c>
      <c r="V388" s="1">
        <f t="shared" si="21"/>
        <v>6.2921047727272725</v>
      </c>
      <c r="W388" s="1">
        <f t="shared" si="22"/>
        <v>5.5636087931034481</v>
      </c>
      <c r="X388" s="1">
        <f t="shared" si="23"/>
        <v>5.6234218867924533</v>
      </c>
    </row>
    <row r="389" spans="2:24" x14ac:dyDescent="0.25">
      <c r="B389" s="11">
        <f>[1]code!B386</f>
        <v>147</v>
      </c>
      <c r="C389" s="2" t="str">
        <f>[1]code!C386</f>
        <v>ملمع أثاث 700 مم</v>
      </c>
      <c r="D389" s="2" t="str">
        <f>[1]code!D386</f>
        <v>منظفات</v>
      </c>
      <c r="E389" s="1" t="str">
        <f>[1]code!E386</f>
        <v>لتر</v>
      </c>
      <c r="F389" s="2" t="str">
        <f>[1]code!F386</f>
        <v>الظاهرى</v>
      </c>
      <c r="G389" s="12">
        <f>[1]code!G386</f>
        <v>14.854435</v>
      </c>
      <c r="I389" s="10">
        <v>14.854435</v>
      </c>
      <c r="J389" s="10">
        <v>13.690749999999998</v>
      </c>
      <c r="K389" s="10">
        <v>13.696500000000002</v>
      </c>
      <c r="L389" s="10">
        <v>13.690749999999998</v>
      </c>
      <c r="M389" s="10">
        <f>IFERROR(VLOOKUP($B389,[1]INV!$B$7:$H$2575,7,0),"")</f>
        <v>13.690749999999998</v>
      </c>
      <c r="N389" s="10"/>
      <c r="O389" s="10"/>
      <c r="P389" s="10"/>
      <c r="Q389" s="10"/>
      <c r="R389" s="10"/>
      <c r="S389" s="10"/>
      <c r="T389" s="10"/>
      <c r="U389" s="1">
        <f t="shared" si="20"/>
        <v>14.854435</v>
      </c>
      <c r="V389" s="1">
        <f t="shared" si="21"/>
        <v>13.690749999999998</v>
      </c>
      <c r="W389" s="1">
        <f t="shared" si="22"/>
        <v>13.696500000000002</v>
      </c>
      <c r="X389" s="1">
        <f t="shared" si="23"/>
        <v>13.690749999999998</v>
      </c>
    </row>
    <row r="390" spans="2:24" x14ac:dyDescent="0.25">
      <c r="B390" s="11">
        <f>[1]code!B387</f>
        <v>161</v>
      </c>
      <c r="C390" s="2" t="str">
        <f>[1]code!C387</f>
        <v>كلوركس 30 لتر</v>
      </c>
      <c r="D390" s="2" t="str">
        <f>[1]code!D387</f>
        <v>منظفات</v>
      </c>
      <c r="E390" s="1" t="str">
        <f>[1]code!E387</f>
        <v>لتر</v>
      </c>
      <c r="F390" s="2" t="str">
        <f>[1]code!F387</f>
        <v>الظاهرى</v>
      </c>
      <c r="G390" s="12">
        <f>[1]code!G387</f>
        <v>1.3347668409090909</v>
      </c>
      <c r="I390" s="10">
        <v>1.3347668409090909</v>
      </c>
      <c r="J390" s="10">
        <v>1.3033294999999998</v>
      </c>
      <c r="K390" s="10">
        <v>1.9502954545454545</v>
      </c>
      <c r="L390" s="10">
        <v>1.2826159090909093</v>
      </c>
      <c r="M390" s="10">
        <f>IFERROR(VLOOKUP($B390,[1]INV!$B$7:$H$2575,7,0),"")</f>
        <v>1.2650000000000001</v>
      </c>
      <c r="N390" s="10"/>
      <c r="O390" s="10"/>
      <c r="P390" s="10"/>
      <c r="Q390" s="10"/>
      <c r="R390" s="10"/>
      <c r="S390" s="10"/>
      <c r="T390" s="10"/>
      <c r="U390" s="1">
        <f t="shared" si="20"/>
        <v>1.3347668409090909</v>
      </c>
      <c r="V390" s="1">
        <f t="shared" si="21"/>
        <v>1.3033294999999998</v>
      </c>
      <c r="W390" s="1">
        <f t="shared" si="22"/>
        <v>1.9502954545454545</v>
      </c>
      <c r="X390" s="1">
        <f t="shared" si="23"/>
        <v>1.2826159090909093</v>
      </c>
    </row>
    <row r="391" spans="2:24" x14ac:dyDescent="0.25">
      <c r="B391" s="11">
        <f>[1]code!B388</f>
        <v>172</v>
      </c>
      <c r="C391" s="2" t="str">
        <f>[1]code!C388</f>
        <v>نفثالين معطر</v>
      </c>
      <c r="D391" s="2" t="str">
        <f>[1]code!D388</f>
        <v>منظفات</v>
      </c>
      <c r="E391" s="1" t="str">
        <f>[1]code!E388</f>
        <v>حبة</v>
      </c>
      <c r="F391" s="2">
        <f>[1]code!F388</f>
        <v>0</v>
      </c>
      <c r="G391" s="12">
        <f>[1]code!G388</f>
        <v>3.1164999999999998</v>
      </c>
      <c r="I391" s="10">
        <v>0</v>
      </c>
      <c r="J391" s="10">
        <v>0</v>
      </c>
      <c r="K391" s="10">
        <v>0</v>
      </c>
      <c r="L391" s="10">
        <v>0</v>
      </c>
      <c r="M391" s="10" t="str">
        <f>IFERROR(VLOOKUP($B391,[1]INV!$B$7:$H$2575,7,0),"")</f>
        <v/>
      </c>
      <c r="N391" s="10"/>
      <c r="O391" s="10"/>
      <c r="P391" s="10"/>
      <c r="Q391" s="10"/>
      <c r="R391" s="10"/>
      <c r="S391" s="10"/>
      <c r="T391" s="10"/>
      <c r="U391" s="1">
        <f t="shared" si="20"/>
        <v>0</v>
      </c>
      <c r="V391" s="1">
        <f t="shared" si="21"/>
        <v>0</v>
      </c>
      <c r="W391" s="1">
        <f t="shared" si="22"/>
        <v>0</v>
      </c>
      <c r="X391" s="1">
        <f t="shared" si="23"/>
        <v>0</v>
      </c>
    </row>
    <row r="392" spans="2:24" x14ac:dyDescent="0.25">
      <c r="B392" s="11">
        <f>[1]code!B389</f>
        <v>185</v>
      </c>
      <c r="C392" s="2" t="str">
        <f>[1]code!C389</f>
        <v>ديتول</v>
      </c>
      <c r="D392" s="2" t="str">
        <f>[1]code!D389</f>
        <v>منظفات</v>
      </c>
      <c r="E392" s="1" t="str">
        <f>[1]code!E389</f>
        <v>لتر</v>
      </c>
      <c r="F392" s="2">
        <f>[1]code!F389</f>
        <v>0</v>
      </c>
      <c r="G392" s="12">
        <f>[1]code!G389</f>
        <v>8.2661999999999995</v>
      </c>
      <c r="I392" s="10">
        <v>0</v>
      </c>
      <c r="J392" s="10">
        <v>0</v>
      </c>
      <c r="K392" s="10">
        <v>0</v>
      </c>
      <c r="L392" s="10">
        <v>0</v>
      </c>
      <c r="M392" s="10" t="str">
        <f>IFERROR(VLOOKUP($B392,[1]INV!$B$7:$H$2575,7,0),"")</f>
        <v/>
      </c>
      <c r="N392" s="10"/>
      <c r="O392" s="10"/>
      <c r="P392" s="10"/>
      <c r="Q392" s="10"/>
      <c r="R392" s="10"/>
      <c r="S392" s="10"/>
      <c r="T392" s="10"/>
      <c r="U392" s="1">
        <f t="shared" ref="U392:U455" si="24">IF($I392="",$G392,$I392)</f>
        <v>0</v>
      </c>
      <c r="V392" s="1">
        <f t="shared" ref="V392:V455" si="25">IF($J392="",$I392,$J392)</f>
        <v>0</v>
      </c>
      <c r="W392" s="1">
        <f t="shared" ref="W392:W455" si="26">IF($K392="",$J392,$K392)</f>
        <v>0</v>
      </c>
      <c r="X392" s="1">
        <f t="shared" ref="X392:X455" si="27">IF($L392="",$K392,$L392)</f>
        <v>0</v>
      </c>
    </row>
    <row r="393" spans="2:24" x14ac:dyDescent="0.25">
      <c r="B393" s="11">
        <f>[1]code!B390</f>
        <v>31</v>
      </c>
      <c r="C393" s="2" t="str">
        <f>[1]code!C390</f>
        <v>كمامات</v>
      </c>
      <c r="D393" s="2" t="str">
        <f>[1]code!D390</f>
        <v>منظفات</v>
      </c>
      <c r="E393" s="1" t="str">
        <f>[1]code!E390</f>
        <v>علبة</v>
      </c>
      <c r="F393" s="2" t="str">
        <f>[1]code!F390</f>
        <v>الصحة الفريدة</v>
      </c>
      <c r="G393" s="12">
        <f>[1]code!G390</f>
        <v>2.63</v>
      </c>
      <c r="I393" s="10">
        <v>2.63</v>
      </c>
      <c r="J393" s="10">
        <v>2.63</v>
      </c>
      <c r="K393" s="10">
        <v>2.63</v>
      </c>
      <c r="L393" s="10">
        <v>3</v>
      </c>
      <c r="M393" s="10">
        <f>IFERROR(VLOOKUP($B393,[1]INV!$B$7:$H$2575,7,0),"")</f>
        <v>3.5</v>
      </c>
      <c r="N393" s="10"/>
      <c r="O393" s="10"/>
      <c r="P393" s="10"/>
      <c r="Q393" s="10"/>
      <c r="R393" s="10"/>
      <c r="S393" s="10"/>
      <c r="T393" s="10"/>
      <c r="U393" s="1">
        <f t="shared" si="24"/>
        <v>2.63</v>
      </c>
      <c r="V393" s="1">
        <f t="shared" si="25"/>
        <v>2.63</v>
      </c>
      <c r="W393" s="1">
        <f t="shared" si="26"/>
        <v>2.63</v>
      </c>
      <c r="X393" s="1">
        <f t="shared" si="27"/>
        <v>3</v>
      </c>
    </row>
    <row r="394" spans="2:24" x14ac:dyDescent="0.25">
      <c r="B394" s="11">
        <f>[1]code!B391</f>
        <v>70</v>
      </c>
      <c r="C394" s="2" t="str">
        <f>[1]code!C391</f>
        <v>قفازات شفاف</v>
      </c>
      <c r="D394" s="2" t="str">
        <f>[1]code!D391</f>
        <v>منظفات</v>
      </c>
      <c r="E394" s="1" t="str">
        <f>[1]code!E391</f>
        <v>حبة</v>
      </c>
      <c r="F394" s="2">
        <f>[1]code!F391</f>
        <v>0</v>
      </c>
      <c r="G394" s="12">
        <f>[1]code!G391</f>
        <v>12.88</v>
      </c>
      <c r="I394" s="10">
        <v>0</v>
      </c>
      <c r="J394" s="10">
        <v>0</v>
      </c>
      <c r="K394" s="10">
        <v>0</v>
      </c>
      <c r="L394" s="10">
        <v>12.88</v>
      </c>
      <c r="M394" s="10" t="str">
        <f>IFERROR(VLOOKUP($B394,[1]INV!$B$7:$H$2575,7,0),"")</f>
        <v/>
      </c>
      <c r="N394" s="10"/>
      <c r="O394" s="10"/>
      <c r="P394" s="10"/>
      <c r="Q394" s="10"/>
      <c r="R394" s="10"/>
      <c r="S394" s="10"/>
      <c r="T394" s="10"/>
      <c r="U394" s="1">
        <f t="shared" si="24"/>
        <v>0</v>
      </c>
      <c r="V394" s="1">
        <f t="shared" si="25"/>
        <v>0</v>
      </c>
      <c r="W394" s="1">
        <f t="shared" si="26"/>
        <v>0</v>
      </c>
      <c r="X394" s="1">
        <f t="shared" si="27"/>
        <v>12.88</v>
      </c>
    </row>
    <row r="395" spans="2:24" x14ac:dyDescent="0.25">
      <c r="B395" s="11">
        <f>[1]code!B392</f>
        <v>128</v>
      </c>
      <c r="C395" s="2" t="str">
        <f>[1]code!C392</f>
        <v>قفازات لاتكس</v>
      </c>
      <c r="D395" s="2" t="str">
        <f>[1]code!D392</f>
        <v>منظفات</v>
      </c>
      <c r="E395" s="1" t="str">
        <f>[1]code!E392</f>
        <v>علبة</v>
      </c>
      <c r="F395" s="2" t="str">
        <f>[1]code!F392</f>
        <v>الصحة الفريدة</v>
      </c>
      <c r="G395" s="12">
        <f>[1]code!G392</f>
        <v>11.5</v>
      </c>
      <c r="I395" s="10">
        <v>11.5</v>
      </c>
      <c r="J395" s="10">
        <v>11.5</v>
      </c>
      <c r="K395" s="10">
        <v>11.5</v>
      </c>
      <c r="L395" s="10">
        <v>16.536585365853657</v>
      </c>
      <c r="M395" s="10">
        <f>IFERROR(VLOOKUP($B395,[1]INV!$B$7:$H$2575,7,0),"")</f>
        <v>16</v>
      </c>
      <c r="N395" s="10"/>
      <c r="O395" s="10"/>
      <c r="P395" s="10"/>
      <c r="Q395" s="10"/>
      <c r="R395" s="10"/>
      <c r="S395" s="10"/>
      <c r="T395" s="10"/>
      <c r="U395" s="1">
        <f t="shared" si="24"/>
        <v>11.5</v>
      </c>
      <c r="V395" s="1">
        <f t="shared" si="25"/>
        <v>11.5</v>
      </c>
      <c r="W395" s="1">
        <f t="shared" si="26"/>
        <v>11.5</v>
      </c>
      <c r="X395" s="1">
        <f t="shared" si="27"/>
        <v>16.536585365853657</v>
      </c>
    </row>
    <row r="396" spans="2:24" x14ac:dyDescent="0.25">
      <c r="B396" s="11">
        <f>[1]code!B393</f>
        <v>146</v>
      </c>
      <c r="C396" s="2" t="str">
        <f>[1]code!C393</f>
        <v>معطر ومطهر أرضيات</v>
      </c>
      <c r="D396" s="2" t="str">
        <f>[1]code!D393</f>
        <v>منظفات</v>
      </c>
      <c r="E396" s="1" t="str">
        <f>[1]code!E393</f>
        <v>لتر</v>
      </c>
      <c r="F396" s="2">
        <f>[1]code!F393</f>
        <v>0</v>
      </c>
      <c r="G396" s="12">
        <f>[1]code!G393</f>
        <v>4.4022345000000005</v>
      </c>
      <c r="I396" s="10">
        <v>4.4022345000000005</v>
      </c>
      <c r="J396" s="10">
        <v>3.7052999999999998</v>
      </c>
      <c r="K396" s="10">
        <v>3.7053000000000003</v>
      </c>
      <c r="L396" s="10">
        <v>3.7614200000000002</v>
      </c>
      <c r="M396" s="10">
        <f>IFERROR(VLOOKUP($B396,[1]INV!$B$7:$H$2575,7,0),"")</f>
        <v>3.7053000000000003</v>
      </c>
      <c r="N396" s="10"/>
      <c r="O396" s="10"/>
      <c r="P396" s="10"/>
      <c r="Q396" s="10"/>
      <c r="R396" s="10"/>
      <c r="S396" s="10"/>
      <c r="T396" s="10"/>
      <c r="U396" s="1">
        <f t="shared" si="24"/>
        <v>4.4022345000000005</v>
      </c>
      <c r="V396" s="1">
        <f t="shared" si="25"/>
        <v>3.7052999999999998</v>
      </c>
      <c r="W396" s="1">
        <f t="shared" si="26"/>
        <v>3.7053000000000003</v>
      </c>
      <c r="X396" s="1">
        <f t="shared" si="27"/>
        <v>3.7614200000000002</v>
      </c>
    </row>
    <row r="397" spans="2:24" x14ac:dyDescent="0.25">
      <c r="B397" s="11">
        <f>[1]code!B394</f>
        <v>148</v>
      </c>
      <c r="C397" s="2" t="str">
        <f>[1]code!C394</f>
        <v>معصم بلاستيك</v>
      </c>
      <c r="D397" s="2" t="str">
        <f>[1]code!D394</f>
        <v>منظفات</v>
      </c>
      <c r="E397" s="1" t="str">
        <f>[1]code!E394</f>
        <v>كيلو</v>
      </c>
      <c r="F397" s="2" t="str">
        <f>[1]code!F394</f>
        <v>الظاهرى</v>
      </c>
      <c r="G397" s="12">
        <f>[1]code!G394</f>
        <v>24.011178571428569</v>
      </c>
      <c r="I397" s="10">
        <v>24.011178571428569</v>
      </c>
      <c r="J397" s="10">
        <v>23.241500000000002</v>
      </c>
      <c r="K397" s="10">
        <v>23.241500000000002</v>
      </c>
      <c r="L397" s="10">
        <v>28.110600000000005</v>
      </c>
      <c r="M397" s="10">
        <f>IFERROR(VLOOKUP($B397,[1]INV!$B$7:$H$2575,7,0),"")</f>
        <v>29.914950000000005</v>
      </c>
      <c r="N397" s="10"/>
      <c r="O397" s="10"/>
      <c r="P397" s="10"/>
      <c r="Q397" s="10"/>
      <c r="R397" s="10"/>
      <c r="S397" s="10"/>
      <c r="T397" s="10"/>
      <c r="U397" s="1">
        <f t="shared" si="24"/>
        <v>24.011178571428569</v>
      </c>
      <c r="V397" s="1">
        <f t="shared" si="25"/>
        <v>23.241500000000002</v>
      </c>
      <c r="W397" s="1">
        <f t="shared" si="26"/>
        <v>23.241500000000002</v>
      </c>
      <c r="X397" s="1">
        <f t="shared" si="27"/>
        <v>28.110600000000005</v>
      </c>
    </row>
    <row r="398" spans="2:24" x14ac:dyDescent="0.25">
      <c r="B398" s="11">
        <f>[1]code!B395</f>
        <v>183</v>
      </c>
      <c r="C398" s="2" t="str">
        <f>[1]code!C395</f>
        <v>غطاء شوز</v>
      </c>
      <c r="D398" s="2" t="str">
        <f>[1]code!D395</f>
        <v>منظفات</v>
      </c>
      <c r="E398" s="1" t="str">
        <f>[1]code!E395</f>
        <v>كيلو</v>
      </c>
      <c r="F398" s="2" t="str">
        <f>[1]code!F395</f>
        <v>الصحة الفريدة</v>
      </c>
      <c r="G398" s="12">
        <f>[1]code!G395</f>
        <v>27.499949999999998</v>
      </c>
      <c r="I398" s="10">
        <v>27.499949999999998</v>
      </c>
      <c r="J398" s="10">
        <v>27.499949999999998</v>
      </c>
      <c r="K398" s="10">
        <v>24.804349999999999</v>
      </c>
      <c r="L398" s="10">
        <v>24.804349999999999</v>
      </c>
      <c r="M398" s="10" t="str">
        <f>IFERROR(VLOOKUP($B398,[1]INV!$B$7:$H$2575,7,0),"")</f>
        <v/>
      </c>
      <c r="N398" s="10"/>
      <c r="O398" s="10"/>
      <c r="P398" s="10"/>
      <c r="Q398" s="10"/>
      <c r="R398" s="10"/>
      <c r="S398" s="10"/>
      <c r="T398" s="10"/>
      <c r="U398" s="1">
        <f t="shared" si="24"/>
        <v>27.499949999999998</v>
      </c>
      <c r="V398" s="1">
        <f t="shared" si="25"/>
        <v>27.499949999999998</v>
      </c>
      <c r="W398" s="1">
        <f t="shared" si="26"/>
        <v>24.804349999999999</v>
      </c>
      <c r="X398" s="1">
        <f t="shared" si="27"/>
        <v>24.804349999999999</v>
      </c>
    </row>
    <row r="399" spans="2:24" x14ac:dyDescent="0.25">
      <c r="B399" s="11">
        <f>[1]code!B396</f>
        <v>472</v>
      </c>
      <c r="C399" s="2" t="str">
        <f>[1]code!C396</f>
        <v>غطاء رأس</v>
      </c>
      <c r="D399" s="2" t="str">
        <f>[1]code!D396</f>
        <v>منظفات</v>
      </c>
      <c r="E399" s="1" t="str">
        <f>[1]code!E396</f>
        <v>كيلو</v>
      </c>
      <c r="F399" s="2" t="str">
        <f>[1]code!F396</f>
        <v>الظاهرى</v>
      </c>
      <c r="G399" s="12">
        <f>[1]code!G396</f>
        <v>2.415</v>
      </c>
      <c r="I399" s="10">
        <v>0</v>
      </c>
      <c r="J399" s="10">
        <v>0</v>
      </c>
      <c r="K399" s="10">
        <v>0</v>
      </c>
      <c r="L399" s="10">
        <v>0</v>
      </c>
      <c r="M399" s="10" t="str">
        <f>IFERROR(VLOOKUP($B399,[1]INV!$B$7:$H$2575,7,0),"")</f>
        <v/>
      </c>
      <c r="N399" s="10"/>
      <c r="O399" s="10"/>
      <c r="P399" s="10"/>
      <c r="Q399" s="10"/>
      <c r="R399" s="10"/>
      <c r="S399" s="10"/>
      <c r="T399" s="10"/>
      <c r="U399" s="1">
        <f t="shared" si="24"/>
        <v>0</v>
      </c>
      <c r="V399" s="1">
        <f t="shared" si="25"/>
        <v>0</v>
      </c>
      <c r="W399" s="1">
        <f t="shared" si="26"/>
        <v>0</v>
      </c>
      <c r="X399" s="1">
        <f t="shared" si="27"/>
        <v>0</v>
      </c>
    </row>
    <row r="400" spans="2:24" x14ac:dyDescent="0.25">
      <c r="B400" s="11">
        <f>[1]code!B397</f>
        <v>16</v>
      </c>
      <c r="C400" s="2" t="str">
        <f>[1]code!C397</f>
        <v>اسفنج غسيل 20*9</v>
      </c>
      <c r="D400" s="2" t="str">
        <f>[1]code!D397</f>
        <v>منظفات</v>
      </c>
      <c r="E400" s="1" t="str">
        <f>[1]code!E397</f>
        <v>حبة</v>
      </c>
      <c r="F400" s="2" t="str">
        <f>[1]code!F397</f>
        <v>واد العطاء</v>
      </c>
      <c r="G400" s="12">
        <f>[1]code!G397</f>
        <v>0.62697067894736846</v>
      </c>
      <c r="I400" s="10">
        <v>0.62697067894736846</v>
      </c>
      <c r="J400" s="10">
        <v>0.44724787999999988</v>
      </c>
      <c r="K400" s="10">
        <v>0.79100584415584418</v>
      </c>
      <c r="L400" s="10">
        <v>0.51110983333333337</v>
      </c>
      <c r="M400" s="10">
        <f>IFERROR(VLOOKUP($B400,[1]INV!$B$7:$H$2575,7,0),"")</f>
        <v>0.54279999999999995</v>
      </c>
      <c r="N400" s="10"/>
      <c r="O400" s="10"/>
      <c r="P400" s="10"/>
      <c r="Q400" s="10"/>
      <c r="R400" s="10"/>
      <c r="S400" s="10"/>
      <c r="T400" s="10"/>
      <c r="U400" s="1">
        <f t="shared" si="24"/>
        <v>0.62697067894736846</v>
      </c>
      <c r="V400" s="1">
        <f t="shared" si="25"/>
        <v>0.44724787999999988</v>
      </c>
      <c r="W400" s="1">
        <f t="shared" si="26"/>
        <v>0.79100584415584418</v>
      </c>
      <c r="X400" s="1">
        <f t="shared" si="27"/>
        <v>0.51110983333333337</v>
      </c>
    </row>
    <row r="401" spans="2:24" x14ac:dyDescent="0.25">
      <c r="B401" s="11">
        <f>[1]code!B398</f>
        <v>631</v>
      </c>
      <c r="C401" s="2" t="str">
        <f>[1]code!C398</f>
        <v>معقم أسطح 700 مم</v>
      </c>
      <c r="D401" s="2" t="str">
        <f>[1]code!D398</f>
        <v>منظفات</v>
      </c>
      <c r="E401" s="1" t="str">
        <f>[1]code!E398</f>
        <v>لتر</v>
      </c>
      <c r="F401" s="2" t="str">
        <f>[1]code!F398</f>
        <v>الظاهرى</v>
      </c>
      <c r="G401" s="12">
        <f>[1]code!G398</f>
        <v>14.006455617218935</v>
      </c>
      <c r="I401" s="10">
        <v>14.006455617218935</v>
      </c>
      <c r="J401" s="10">
        <v>13.69075</v>
      </c>
      <c r="K401" s="10">
        <v>13.696500000000002</v>
      </c>
      <c r="L401" s="10">
        <v>13.690508500000002</v>
      </c>
      <c r="M401" s="10">
        <f>IFERROR(VLOOKUP($B401,[1]INV!$B$7:$H$2575,7,0),"")</f>
        <v>13.69075</v>
      </c>
      <c r="N401" s="10"/>
      <c r="O401" s="10"/>
      <c r="P401" s="10"/>
      <c r="Q401" s="10"/>
      <c r="R401" s="10"/>
      <c r="S401" s="10"/>
      <c r="T401" s="10"/>
      <c r="U401" s="1">
        <f t="shared" si="24"/>
        <v>14.006455617218935</v>
      </c>
      <c r="V401" s="1">
        <f t="shared" si="25"/>
        <v>13.69075</v>
      </c>
      <c r="W401" s="1">
        <f t="shared" si="26"/>
        <v>13.696500000000002</v>
      </c>
      <c r="X401" s="1">
        <f t="shared" si="27"/>
        <v>13.690508500000002</v>
      </c>
    </row>
    <row r="402" spans="2:24" x14ac:dyDescent="0.25">
      <c r="B402" s="11">
        <f>[1]code!B399</f>
        <v>540</v>
      </c>
      <c r="C402" s="2" t="str">
        <f>[1]code!C399</f>
        <v>ملمع استيل 300مم</v>
      </c>
      <c r="D402" s="2" t="str">
        <f>[1]code!D399</f>
        <v>منظفات</v>
      </c>
      <c r="E402" s="1" t="str">
        <f>[1]code!E399</f>
        <v>لتر</v>
      </c>
      <c r="F402" s="2" t="str">
        <f>[1]code!F399</f>
        <v>واد العطاء</v>
      </c>
      <c r="G402" s="12">
        <f>[1]code!G399</f>
        <v>26.566916666666661</v>
      </c>
      <c r="I402" s="10">
        <v>26.566916666666661</v>
      </c>
      <c r="J402" s="10">
        <v>16.53125</v>
      </c>
      <c r="K402" s="10">
        <v>16.53125</v>
      </c>
      <c r="L402" s="10">
        <v>16.890625</v>
      </c>
      <c r="M402" s="10">
        <f>IFERROR(VLOOKUP($B402,[1]INV!$B$7:$H$2575,7,0),"")</f>
        <v>29.434249999999995</v>
      </c>
      <c r="N402" s="10"/>
      <c r="O402" s="10"/>
      <c r="P402" s="10"/>
      <c r="Q402" s="10"/>
      <c r="R402" s="10"/>
      <c r="S402" s="10"/>
      <c r="T402" s="10"/>
      <c r="U402" s="1">
        <f t="shared" si="24"/>
        <v>26.566916666666661</v>
      </c>
      <c r="V402" s="1">
        <f t="shared" si="25"/>
        <v>16.53125</v>
      </c>
      <c r="W402" s="1">
        <f t="shared" si="26"/>
        <v>16.53125</v>
      </c>
      <c r="X402" s="1">
        <f t="shared" si="27"/>
        <v>16.890625</v>
      </c>
    </row>
    <row r="403" spans="2:24" x14ac:dyDescent="0.25">
      <c r="B403" s="11">
        <f>[1]code!B400</f>
        <v>578</v>
      </c>
      <c r="C403" s="2" t="str">
        <f>[1]code!C400</f>
        <v>ملمع زجاج بخاخ</v>
      </c>
      <c r="D403" s="2" t="str">
        <f>[1]code!D400</f>
        <v>منظفات</v>
      </c>
      <c r="E403" s="1" t="str">
        <f>[1]code!E400</f>
        <v>لتر</v>
      </c>
      <c r="F403" s="2" t="str">
        <f>[1]code!F400</f>
        <v>الظاهرى</v>
      </c>
      <c r="G403" s="12">
        <f>[1]code!G400</f>
        <v>4.4229000000000003</v>
      </c>
      <c r="I403" s="10">
        <v>4.4229000000000003</v>
      </c>
      <c r="J403" s="10">
        <v>4.4229000000000003</v>
      </c>
      <c r="K403" s="10">
        <v>4.4229000000000003</v>
      </c>
      <c r="L403" s="10">
        <v>4.4231299999999996</v>
      </c>
      <c r="M403" s="10">
        <f>IFERROR(VLOOKUP($B403,[1]INV!$B$7:$H$2575,7,0),"")</f>
        <v>4.4229000000000003</v>
      </c>
      <c r="N403" s="10"/>
      <c r="O403" s="10"/>
      <c r="P403" s="10"/>
      <c r="Q403" s="10"/>
      <c r="R403" s="10"/>
      <c r="S403" s="10"/>
      <c r="T403" s="10"/>
      <c r="U403" s="1">
        <f t="shared" si="24"/>
        <v>4.4229000000000003</v>
      </c>
      <c r="V403" s="1">
        <f t="shared" si="25"/>
        <v>4.4229000000000003</v>
      </c>
      <c r="W403" s="1">
        <f t="shared" si="26"/>
        <v>4.4229000000000003</v>
      </c>
      <c r="X403" s="1">
        <f t="shared" si="27"/>
        <v>4.4231299999999996</v>
      </c>
    </row>
    <row r="404" spans="2:24" x14ac:dyDescent="0.25">
      <c r="B404" s="11">
        <f>[1]code!B401</f>
        <v>603</v>
      </c>
      <c r="C404" s="2" t="str">
        <f>[1]code!C401</f>
        <v>مزيل دهون بخاخ  1 لتر</v>
      </c>
      <c r="D404" s="2" t="str">
        <f>[1]code!D401</f>
        <v>منظفات</v>
      </c>
      <c r="E404" s="1" t="str">
        <f>[1]code!E401</f>
        <v>لتر</v>
      </c>
      <c r="F404" s="2" t="str">
        <f>[1]code!F401</f>
        <v>الظاهرى</v>
      </c>
      <c r="G404" s="12">
        <f>[1]code!G401</f>
        <v>12.938000000000001</v>
      </c>
      <c r="I404" s="10">
        <v>12.938000000000001</v>
      </c>
      <c r="J404" s="10">
        <v>12.9375</v>
      </c>
      <c r="K404" s="10">
        <v>12.9375</v>
      </c>
      <c r="L404" s="10">
        <v>12.9375</v>
      </c>
      <c r="M404" s="10">
        <f>IFERROR(VLOOKUP($B404,[1]INV!$B$7:$H$2575,7,0),"")</f>
        <v>12.9375</v>
      </c>
      <c r="N404" s="10"/>
      <c r="O404" s="10"/>
      <c r="P404" s="10"/>
      <c r="Q404" s="10"/>
      <c r="R404" s="10"/>
      <c r="S404" s="10"/>
      <c r="T404" s="10"/>
      <c r="U404" s="1">
        <f t="shared" si="24"/>
        <v>12.938000000000001</v>
      </c>
      <c r="V404" s="1">
        <f t="shared" si="25"/>
        <v>12.9375</v>
      </c>
      <c r="W404" s="1">
        <f t="shared" si="26"/>
        <v>12.9375</v>
      </c>
      <c r="X404" s="1">
        <f t="shared" si="27"/>
        <v>12.9375</v>
      </c>
    </row>
    <row r="405" spans="2:24" x14ac:dyDescent="0.25">
      <c r="B405" s="11">
        <f>[1]code!B402</f>
        <v>71</v>
      </c>
      <c r="C405" s="2" t="str">
        <f>[1]code!C402</f>
        <v>قفاز اسود</v>
      </c>
      <c r="D405" s="2" t="str">
        <f>[1]code!D402</f>
        <v>منظفات</v>
      </c>
      <c r="E405" s="1" t="str">
        <f>[1]code!E402</f>
        <v>علبة</v>
      </c>
      <c r="F405" s="2" t="str">
        <f>[1]code!F402</f>
        <v>الصحة الفريدة</v>
      </c>
      <c r="G405" s="12">
        <f>[1]code!G402</f>
        <v>5.5</v>
      </c>
      <c r="I405" s="10">
        <v>5.5</v>
      </c>
      <c r="J405" s="10">
        <v>5.5</v>
      </c>
      <c r="K405" s="10">
        <v>5.6178571428571429</v>
      </c>
      <c r="L405" s="10">
        <v>6.5</v>
      </c>
      <c r="M405" s="10">
        <f>IFERROR(VLOOKUP($B405,[1]INV!$B$7:$H$2575,7,0),"")</f>
        <v>6.8516483516483513</v>
      </c>
      <c r="N405" s="10"/>
      <c r="O405" s="10"/>
      <c r="P405" s="10"/>
      <c r="Q405" s="10"/>
      <c r="R405" s="10"/>
      <c r="S405" s="10"/>
      <c r="T405" s="10"/>
      <c r="U405" s="1">
        <f t="shared" si="24"/>
        <v>5.5</v>
      </c>
      <c r="V405" s="1">
        <f t="shared" si="25"/>
        <v>5.5</v>
      </c>
      <c r="W405" s="1">
        <f t="shared" si="26"/>
        <v>5.6178571428571429</v>
      </c>
      <c r="X405" s="1">
        <f t="shared" si="27"/>
        <v>6.5</v>
      </c>
    </row>
    <row r="406" spans="2:24" x14ac:dyDescent="0.25">
      <c r="B406" s="11">
        <f>[1]code!B403</f>
        <v>454</v>
      </c>
      <c r="C406" s="2" t="str">
        <f>[1]code!C403</f>
        <v>أكياس نفايات 10 - المشربية</v>
      </c>
      <c r="D406" s="2" t="str">
        <f>[1]code!D403</f>
        <v>منظفات</v>
      </c>
      <c r="E406" s="1" t="str">
        <f>[1]code!E403</f>
        <v>كيلو</v>
      </c>
      <c r="F406" s="2" t="str">
        <f>[1]code!F403</f>
        <v>الظاهرى</v>
      </c>
      <c r="G406" s="12">
        <f>[1]code!G403</f>
        <v>6.7079500000000012</v>
      </c>
      <c r="I406" s="10">
        <v>0</v>
      </c>
      <c r="J406" s="10">
        <v>0</v>
      </c>
      <c r="K406" s="10">
        <v>0</v>
      </c>
      <c r="L406" s="10">
        <v>0</v>
      </c>
      <c r="M406" s="10">
        <f>IFERROR(VLOOKUP($B406,[1]INV!$B$7:$H$2575,7,0),"")</f>
        <v>11.711600000000001</v>
      </c>
      <c r="N406" s="10"/>
      <c r="O406" s="10"/>
      <c r="P406" s="10"/>
      <c r="Q406" s="10"/>
      <c r="R406" s="10"/>
      <c r="S406" s="10"/>
      <c r="T406" s="10"/>
      <c r="U406" s="1">
        <f t="shared" si="24"/>
        <v>0</v>
      </c>
      <c r="V406" s="1">
        <f t="shared" si="25"/>
        <v>0</v>
      </c>
      <c r="W406" s="1">
        <f t="shared" si="26"/>
        <v>0</v>
      </c>
      <c r="X406" s="1">
        <f t="shared" si="27"/>
        <v>0</v>
      </c>
    </row>
    <row r="407" spans="2:24" x14ac:dyDescent="0.25">
      <c r="B407" s="11">
        <f>[1]code!B404</f>
        <v>502</v>
      </c>
      <c r="C407" s="2" t="str">
        <f>[1]code!C404</f>
        <v>سبرتو 1 لتر - المشربية</v>
      </c>
      <c r="D407" s="2" t="str">
        <f>[1]code!D404</f>
        <v>منظفات</v>
      </c>
      <c r="E407" s="1" t="str">
        <f>[1]code!E404</f>
        <v>لتر</v>
      </c>
      <c r="F407" s="2">
        <f>[1]code!F404</f>
        <v>0</v>
      </c>
      <c r="G407" s="12">
        <f>[1]code!G404</f>
        <v>0</v>
      </c>
      <c r="I407" s="10">
        <v>0</v>
      </c>
      <c r="J407" s="10">
        <v>0</v>
      </c>
      <c r="K407" s="10">
        <v>0</v>
      </c>
      <c r="L407" s="10">
        <v>0</v>
      </c>
      <c r="M407" s="10" t="str">
        <f>IFERROR(VLOOKUP($B407,[1]INV!$B$7:$H$2575,7,0),"")</f>
        <v/>
      </c>
      <c r="N407" s="10"/>
      <c r="O407" s="10"/>
      <c r="P407" s="10"/>
      <c r="Q407" s="10"/>
      <c r="R407" s="10"/>
      <c r="S407" s="10"/>
      <c r="T407" s="10"/>
      <c r="U407" s="1">
        <f t="shared" si="24"/>
        <v>0</v>
      </c>
      <c r="V407" s="1">
        <f t="shared" si="25"/>
        <v>0</v>
      </c>
      <c r="W407" s="1">
        <f t="shared" si="26"/>
        <v>0</v>
      </c>
      <c r="X407" s="1">
        <f t="shared" si="27"/>
        <v>0</v>
      </c>
    </row>
    <row r="408" spans="2:24" x14ac:dyDescent="0.25">
      <c r="B408" s="11">
        <f>[1]code!B405</f>
        <v>40</v>
      </c>
      <c r="C408" s="2" t="str">
        <f>[1]code!C405</f>
        <v>ملمع استيل 700مل</v>
      </c>
      <c r="D408" s="2" t="str">
        <f>[1]code!D405</f>
        <v>منظفات</v>
      </c>
      <c r="E408" s="1" t="str">
        <f>[1]code!E405</f>
        <v>لتر</v>
      </c>
      <c r="F408" s="2">
        <f>[1]code!F405</f>
        <v>0</v>
      </c>
      <c r="G408" s="12">
        <f>[1]code!G405</f>
        <v>16.53125</v>
      </c>
      <c r="I408" s="10">
        <v>0</v>
      </c>
      <c r="J408" s="10">
        <v>0</v>
      </c>
      <c r="K408" s="10">
        <v>0</v>
      </c>
      <c r="L408" s="10">
        <v>0</v>
      </c>
      <c r="M408" s="10" t="str">
        <f>IFERROR(VLOOKUP($B408,[1]INV!$B$7:$H$2575,7,0),"")</f>
        <v/>
      </c>
      <c r="N408" s="10"/>
      <c r="O408" s="10"/>
      <c r="P408" s="10"/>
      <c r="Q408" s="10"/>
      <c r="R408" s="10"/>
      <c r="S408" s="10"/>
      <c r="T408" s="10"/>
      <c r="U408" s="1">
        <f t="shared" si="24"/>
        <v>0</v>
      </c>
      <c r="V408" s="1">
        <f t="shared" si="25"/>
        <v>0</v>
      </c>
      <c r="W408" s="1">
        <f t="shared" si="26"/>
        <v>0</v>
      </c>
      <c r="X408" s="1">
        <f t="shared" si="27"/>
        <v>0</v>
      </c>
    </row>
    <row r="409" spans="2:24" x14ac:dyDescent="0.25">
      <c r="B409" s="11">
        <f>[1]code!B406</f>
        <v>651</v>
      </c>
      <c r="C409" s="2" t="str">
        <f>[1]code!C406</f>
        <v>فحم اندونيسى 10 كيلو</v>
      </c>
      <c r="D409" s="2" t="str">
        <f>[1]code!D406</f>
        <v>أدوات تشغيل</v>
      </c>
      <c r="E409" s="1" t="str">
        <f>[1]code!E406</f>
        <v>كرتون</v>
      </c>
      <c r="F409" s="2" t="str">
        <f>[1]code!F406</f>
        <v>مشتريات مباشرة</v>
      </c>
      <c r="G409" s="12">
        <f>[1]code!G406</f>
        <v>0</v>
      </c>
      <c r="I409" s="10">
        <v>0</v>
      </c>
      <c r="J409" s="10">
        <v>0</v>
      </c>
      <c r="K409" s="10">
        <v>0</v>
      </c>
      <c r="L409" s="10">
        <v>0</v>
      </c>
      <c r="M409" s="10" t="str">
        <f>IFERROR(VLOOKUP($B409,[1]INV!$B$7:$H$2575,7,0),"")</f>
        <v/>
      </c>
      <c r="N409" s="10"/>
      <c r="O409" s="10"/>
      <c r="P409" s="10"/>
      <c r="Q409" s="10"/>
      <c r="R409" s="10"/>
      <c r="S409" s="10"/>
      <c r="T409" s="10"/>
      <c r="U409" s="1">
        <f t="shared" si="24"/>
        <v>0</v>
      </c>
      <c r="V409" s="1">
        <f t="shared" si="25"/>
        <v>0</v>
      </c>
      <c r="W409" s="1">
        <f t="shared" si="26"/>
        <v>0</v>
      </c>
      <c r="X409" s="1">
        <f t="shared" si="27"/>
        <v>0</v>
      </c>
    </row>
    <row r="410" spans="2:24" x14ac:dyDescent="0.25">
      <c r="B410" s="11">
        <f>[1]code!B407</f>
        <v>176</v>
      </c>
      <c r="C410" s="2" t="str">
        <f>[1]code!C407</f>
        <v>دسبنسر صابون</v>
      </c>
      <c r="D410" s="2" t="str">
        <f>[1]code!D407</f>
        <v>أدوات تشغيل</v>
      </c>
      <c r="E410" s="1" t="str">
        <f>[1]code!E407</f>
        <v>حبة</v>
      </c>
      <c r="F410" s="2">
        <f>[1]code!F407</f>
        <v>0</v>
      </c>
      <c r="G410" s="12">
        <f>[1]code!G407</f>
        <v>12.458333333333334</v>
      </c>
      <c r="I410" s="10">
        <v>0</v>
      </c>
      <c r="J410" s="10">
        <v>0</v>
      </c>
      <c r="K410" s="10">
        <v>0</v>
      </c>
      <c r="L410" s="10">
        <v>0</v>
      </c>
      <c r="M410" s="10" t="str">
        <f>IFERROR(VLOOKUP($B410,[1]INV!$B$7:$H$2575,7,0),"")</f>
        <v/>
      </c>
      <c r="N410" s="10"/>
      <c r="O410" s="10"/>
      <c r="P410" s="10"/>
      <c r="Q410" s="10"/>
      <c r="R410" s="10"/>
      <c r="S410" s="10"/>
      <c r="T410" s="10"/>
      <c r="U410" s="1">
        <f t="shared" si="24"/>
        <v>0</v>
      </c>
      <c r="V410" s="1">
        <f t="shared" si="25"/>
        <v>0</v>
      </c>
      <c r="W410" s="1">
        <f t="shared" si="26"/>
        <v>0</v>
      </c>
      <c r="X410" s="1">
        <f t="shared" si="27"/>
        <v>0</v>
      </c>
    </row>
    <row r="411" spans="2:24" x14ac:dyDescent="0.25">
      <c r="B411" s="11">
        <f>[1]code!B408</f>
        <v>132</v>
      </c>
      <c r="C411" s="2" t="str">
        <f>[1]code!C408</f>
        <v>ريش تهوية</v>
      </c>
      <c r="D411" s="2" t="str">
        <f>[1]code!D408</f>
        <v>أدوات تشغيل</v>
      </c>
      <c r="E411" s="1" t="str">
        <f>[1]code!E408</f>
        <v>حبة</v>
      </c>
      <c r="F411" s="2">
        <f>[1]code!F408</f>
        <v>0</v>
      </c>
      <c r="G411" s="12">
        <f>[1]code!G408</f>
        <v>0</v>
      </c>
      <c r="I411" s="10">
        <v>0</v>
      </c>
      <c r="J411" s="10">
        <v>0</v>
      </c>
      <c r="K411" s="10">
        <v>0</v>
      </c>
      <c r="L411" s="10">
        <v>0</v>
      </c>
      <c r="M411" s="10" t="str">
        <f>IFERROR(VLOOKUP($B411,[1]INV!$B$7:$H$2575,7,0),"")</f>
        <v/>
      </c>
      <c r="N411" s="10"/>
      <c r="O411" s="10"/>
      <c r="P411" s="10"/>
      <c r="Q411" s="10"/>
      <c r="R411" s="10"/>
      <c r="S411" s="10"/>
      <c r="T411" s="10"/>
      <c r="U411" s="1">
        <f t="shared" si="24"/>
        <v>0</v>
      </c>
      <c r="V411" s="1">
        <f t="shared" si="25"/>
        <v>0</v>
      </c>
      <c r="W411" s="1">
        <f t="shared" si="26"/>
        <v>0</v>
      </c>
      <c r="X411" s="1">
        <f t="shared" si="27"/>
        <v>0</v>
      </c>
    </row>
    <row r="412" spans="2:24" x14ac:dyDescent="0.25">
      <c r="B412" s="11">
        <f>[1]code!B409</f>
        <v>135</v>
      </c>
      <c r="C412" s="2" t="str">
        <f>[1]code!C409</f>
        <v>مكنسة</v>
      </c>
      <c r="D412" s="2" t="str">
        <f>[1]code!D409</f>
        <v>أدوات تشغيل</v>
      </c>
      <c r="E412" s="1" t="str">
        <f>[1]code!E409</f>
        <v>حبة</v>
      </c>
      <c r="F412" s="2">
        <f>[1]code!F409</f>
        <v>0</v>
      </c>
      <c r="G412" s="12">
        <f>[1]code!G409</f>
        <v>0</v>
      </c>
      <c r="I412" s="10">
        <v>0</v>
      </c>
      <c r="J412" s="10">
        <v>0</v>
      </c>
      <c r="K412" s="10">
        <v>0</v>
      </c>
      <c r="L412" s="10">
        <v>0</v>
      </c>
      <c r="M412" s="10" t="str">
        <f>IFERROR(VLOOKUP($B412,[1]INV!$B$7:$H$2575,7,0),"")</f>
        <v/>
      </c>
      <c r="N412" s="10"/>
      <c r="O412" s="10"/>
      <c r="P412" s="10"/>
      <c r="Q412" s="10"/>
      <c r="R412" s="10"/>
      <c r="S412" s="10"/>
      <c r="T412" s="10"/>
      <c r="U412" s="1">
        <f t="shared" si="24"/>
        <v>0</v>
      </c>
      <c r="V412" s="1">
        <f t="shared" si="25"/>
        <v>0</v>
      </c>
      <c r="W412" s="1">
        <f t="shared" si="26"/>
        <v>0</v>
      </c>
      <c r="X412" s="1">
        <f t="shared" si="27"/>
        <v>0</v>
      </c>
    </row>
    <row r="413" spans="2:24" x14ac:dyDescent="0.25">
      <c r="B413" s="11">
        <f>[1]code!B410</f>
        <v>180</v>
      </c>
      <c r="C413" s="2" t="str">
        <f>[1]code!C410</f>
        <v>مساحة أرضيات قماش</v>
      </c>
      <c r="D413" s="2" t="str">
        <f>[1]code!D410</f>
        <v>أدوات تشغيل</v>
      </c>
      <c r="E413" s="1" t="str">
        <f>[1]code!E410</f>
        <v>حبة</v>
      </c>
      <c r="F413" s="2">
        <f>[1]code!F410</f>
        <v>0</v>
      </c>
      <c r="G413" s="12">
        <f>[1]code!G410</f>
        <v>0</v>
      </c>
      <c r="I413" s="10">
        <v>0</v>
      </c>
      <c r="J413" s="10">
        <v>0</v>
      </c>
      <c r="K413" s="10">
        <v>0</v>
      </c>
      <c r="L413" s="10">
        <v>0</v>
      </c>
      <c r="M413" s="10" t="str">
        <f>IFERROR(VLOOKUP($B413,[1]INV!$B$7:$H$2575,7,0),"")</f>
        <v/>
      </c>
      <c r="N413" s="10"/>
      <c r="O413" s="10"/>
      <c r="P413" s="10"/>
      <c r="Q413" s="10"/>
      <c r="R413" s="10"/>
      <c r="S413" s="10"/>
      <c r="T413" s="10"/>
      <c r="U413" s="1">
        <f t="shared" si="24"/>
        <v>0</v>
      </c>
      <c r="V413" s="1">
        <f t="shared" si="25"/>
        <v>0</v>
      </c>
      <c r="W413" s="1">
        <f t="shared" si="26"/>
        <v>0</v>
      </c>
      <c r="X413" s="1">
        <f t="shared" si="27"/>
        <v>0</v>
      </c>
    </row>
    <row r="414" spans="2:24" x14ac:dyDescent="0.25">
      <c r="B414" s="11">
        <f>[1]code!B411</f>
        <v>187</v>
      </c>
      <c r="C414" s="2" t="str">
        <f>[1]code!C411</f>
        <v>بخاخ منظفات</v>
      </c>
      <c r="D414" s="2" t="str">
        <f>[1]code!D411</f>
        <v>أدوات تشغيل</v>
      </c>
      <c r="E414" s="1" t="str">
        <f>[1]code!E411</f>
        <v>حبة</v>
      </c>
      <c r="F414" s="2">
        <f>[1]code!F411</f>
        <v>0</v>
      </c>
      <c r="G414" s="12">
        <f>[1]code!G411</f>
        <v>0</v>
      </c>
      <c r="I414" s="10">
        <v>0</v>
      </c>
      <c r="J414" s="10">
        <v>0</v>
      </c>
      <c r="K414" s="10">
        <v>0</v>
      </c>
      <c r="L414" s="10">
        <v>0</v>
      </c>
      <c r="M414" s="10" t="str">
        <f>IFERROR(VLOOKUP($B414,[1]INV!$B$7:$H$2575,7,0),"")</f>
        <v/>
      </c>
      <c r="N414" s="10"/>
      <c r="O414" s="10"/>
      <c r="P414" s="10"/>
      <c r="Q414" s="10"/>
      <c r="R414" s="10"/>
      <c r="S414" s="10"/>
      <c r="T414" s="10"/>
      <c r="U414" s="1">
        <f t="shared" si="24"/>
        <v>0</v>
      </c>
      <c r="V414" s="1">
        <f t="shared" si="25"/>
        <v>0</v>
      </c>
      <c r="W414" s="1">
        <f t="shared" si="26"/>
        <v>0</v>
      </c>
      <c r="X414" s="1">
        <f t="shared" si="27"/>
        <v>0</v>
      </c>
    </row>
    <row r="415" spans="2:24" x14ac:dyDescent="0.25">
      <c r="B415" s="11">
        <f>[1]code!B412</f>
        <v>620</v>
      </c>
      <c r="C415" s="2" t="str">
        <f>[1]code!C412</f>
        <v>لوحة شرف - الموظف المثالي</v>
      </c>
      <c r="D415" s="2" t="str">
        <f>[1]code!D412</f>
        <v>أدوات تشغيل</v>
      </c>
      <c r="E415" s="1" t="str">
        <f>[1]code!E412</f>
        <v>عدد</v>
      </c>
      <c r="F415" s="2">
        <f>[1]code!F412</f>
        <v>0</v>
      </c>
      <c r="G415" s="12">
        <f>[1]code!G412</f>
        <v>0</v>
      </c>
      <c r="I415" s="10">
        <v>0</v>
      </c>
      <c r="J415" s="10">
        <v>0</v>
      </c>
      <c r="K415" s="10">
        <v>0</v>
      </c>
      <c r="L415" s="10">
        <v>0</v>
      </c>
      <c r="M415" s="10" t="str">
        <f>IFERROR(VLOOKUP($B415,[1]INV!$B$7:$H$2575,7,0),"")</f>
        <v/>
      </c>
      <c r="N415" s="10"/>
      <c r="O415" s="10"/>
      <c r="P415" s="10"/>
      <c r="Q415" s="10"/>
      <c r="R415" s="10"/>
      <c r="S415" s="10"/>
      <c r="T415" s="10"/>
      <c r="U415" s="1">
        <f t="shared" si="24"/>
        <v>0</v>
      </c>
      <c r="V415" s="1">
        <f t="shared" si="25"/>
        <v>0</v>
      </c>
      <c r="W415" s="1">
        <f t="shared" si="26"/>
        <v>0</v>
      </c>
      <c r="X415" s="1">
        <f t="shared" si="27"/>
        <v>0</v>
      </c>
    </row>
    <row r="416" spans="2:24" x14ac:dyDescent="0.25">
      <c r="B416" s="11">
        <f>[1]code!B413</f>
        <v>366</v>
      </c>
      <c r="C416" s="2" t="str">
        <f>[1]code!C413</f>
        <v>برامات فخار</v>
      </c>
      <c r="D416" s="2" t="str">
        <f>[1]code!D413</f>
        <v>أدوات تشغيل</v>
      </c>
      <c r="E416" s="1" t="str">
        <f>[1]code!E413</f>
        <v>حبة</v>
      </c>
      <c r="F416" s="2">
        <f>[1]code!F413</f>
        <v>0</v>
      </c>
      <c r="G416" s="12">
        <f>[1]code!G413</f>
        <v>0</v>
      </c>
      <c r="I416" s="10">
        <v>0</v>
      </c>
      <c r="J416" s="10">
        <v>0</v>
      </c>
      <c r="K416" s="10">
        <v>0</v>
      </c>
      <c r="L416" s="10">
        <v>0</v>
      </c>
      <c r="M416" s="10" t="str">
        <f>IFERROR(VLOOKUP($B416,[1]INV!$B$7:$H$2575,7,0),"")</f>
        <v/>
      </c>
      <c r="N416" s="10"/>
      <c r="O416" s="10"/>
      <c r="P416" s="10"/>
      <c r="Q416" s="10"/>
      <c r="R416" s="10"/>
      <c r="S416" s="10"/>
      <c r="T416" s="10"/>
      <c r="U416" s="1">
        <f t="shared" si="24"/>
        <v>0</v>
      </c>
      <c r="V416" s="1">
        <f t="shared" si="25"/>
        <v>0</v>
      </c>
      <c r="W416" s="1">
        <f t="shared" si="26"/>
        <v>0</v>
      </c>
      <c r="X416" s="1">
        <f t="shared" si="27"/>
        <v>0</v>
      </c>
    </row>
    <row r="417" spans="2:24" x14ac:dyDescent="0.25">
      <c r="B417" s="11">
        <f>[1]code!B414</f>
        <v>636</v>
      </c>
      <c r="C417" s="2" t="str">
        <f>[1]code!C414</f>
        <v>أكواب شاي زجاج</v>
      </c>
      <c r="D417" s="2" t="str">
        <f>[1]code!D414</f>
        <v>أدوات تشغيل</v>
      </c>
      <c r="E417" s="1" t="str">
        <f>[1]code!E414</f>
        <v>كرتونة</v>
      </c>
      <c r="F417" s="2">
        <f>[1]code!F414</f>
        <v>0</v>
      </c>
      <c r="G417" s="12">
        <f>[1]code!G414</f>
        <v>0</v>
      </c>
      <c r="I417" s="10">
        <v>0</v>
      </c>
      <c r="J417" s="10">
        <v>0</v>
      </c>
      <c r="K417" s="10">
        <v>0</v>
      </c>
      <c r="L417" s="10">
        <v>0</v>
      </c>
      <c r="M417" s="10" t="str">
        <f>IFERROR(VLOOKUP($B417,[1]INV!$B$7:$H$2575,7,0),"")</f>
        <v/>
      </c>
      <c r="N417" s="10"/>
      <c r="O417" s="10"/>
      <c r="P417" s="10"/>
      <c r="Q417" s="10"/>
      <c r="R417" s="10"/>
      <c r="S417" s="10"/>
      <c r="T417" s="10"/>
      <c r="U417" s="1">
        <f t="shared" si="24"/>
        <v>0</v>
      </c>
      <c r="V417" s="1">
        <f t="shared" si="25"/>
        <v>0</v>
      </c>
      <c r="W417" s="1">
        <f t="shared" si="26"/>
        <v>0</v>
      </c>
      <c r="X417" s="1">
        <f t="shared" si="27"/>
        <v>0</v>
      </c>
    </row>
    <row r="418" spans="2:24" x14ac:dyDescent="0.25">
      <c r="B418" s="11">
        <f>[1]code!B415</f>
        <v>847</v>
      </c>
      <c r="C418" s="2" t="str">
        <f>[1]code!C415</f>
        <v>فحم اندونيسي 5 كيلو</v>
      </c>
      <c r="D418" s="2" t="str">
        <f>[1]code!D415</f>
        <v>أدوات تشغيل</v>
      </c>
      <c r="E418" s="1" t="str">
        <f>[1]code!E415</f>
        <v>كرتونة</v>
      </c>
      <c r="F418" s="2" t="str">
        <f>[1]code!F415</f>
        <v>مشتريات مباشرة</v>
      </c>
      <c r="G418" s="12">
        <f>[1]code!G415</f>
        <v>0</v>
      </c>
      <c r="I418" s="10">
        <v>0</v>
      </c>
      <c r="J418" s="10">
        <v>0</v>
      </c>
      <c r="K418" s="10">
        <v>0</v>
      </c>
      <c r="L418" s="10">
        <v>0</v>
      </c>
      <c r="M418" s="10" t="str">
        <f>IFERROR(VLOOKUP($B418,[1]INV!$B$7:$H$2575,7,0),"")</f>
        <v/>
      </c>
      <c r="N418" s="10"/>
      <c r="O418" s="10"/>
      <c r="P418" s="10"/>
      <c r="Q418" s="10"/>
      <c r="R418" s="10"/>
      <c r="S418" s="10"/>
      <c r="T418" s="10"/>
      <c r="U418" s="1">
        <f t="shared" si="24"/>
        <v>0</v>
      </c>
      <c r="V418" s="1">
        <f t="shared" si="25"/>
        <v>0</v>
      </c>
      <c r="W418" s="1">
        <f t="shared" si="26"/>
        <v>0</v>
      </c>
      <c r="X418" s="1">
        <f t="shared" si="27"/>
        <v>0</v>
      </c>
    </row>
    <row r="419" spans="2:24" x14ac:dyDescent="0.25">
      <c r="B419" s="11">
        <f>[1]code!B416</f>
        <v>77</v>
      </c>
      <c r="C419" s="2" t="str">
        <f>[1]code!C416</f>
        <v>تيشرت بولو مع الشعار</v>
      </c>
      <c r="D419" s="2" t="str">
        <f>[1]code!D416</f>
        <v>يونيفورم</v>
      </c>
      <c r="E419" s="1" t="str">
        <f>[1]code!E416</f>
        <v>حبة</v>
      </c>
      <c r="F419" s="2">
        <f>[1]code!F416</f>
        <v>0</v>
      </c>
      <c r="G419" s="12">
        <f>[1]code!G416</f>
        <v>34.5</v>
      </c>
      <c r="I419" s="10">
        <v>0</v>
      </c>
      <c r="J419" s="10">
        <v>0</v>
      </c>
      <c r="K419" s="10">
        <v>0</v>
      </c>
      <c r="L419" s="10">
        <v>0</v>
      </c>
      <c r="M419" s="10" t="str">
        <f>IFERROR(VLOOKUP($B419,[1]INV!$B$7:$H$2575,7,0),"")</f>
        <v/>
      </c>
      <c r="N419" s="10"/>
      <c r="O419" s="10"/>
      <c r="P419" s="10"/>
      <c r="Q419" s="10"/>
      <c r="R419" s="10"/>
      <c r="S419" s="10"/>
      <c r="T419" s="10"/>
      <c r="U419" s="1">
        <f t="shared" si="24"/>
        <v>0</v>
      </c>
      <c r="V419" s="1">
        <f t="shared" si="25"/>
        <v>0</v>
      </c>
      <c r="W419" s="1">
        <f t="shared" si="26"/>
        <v>0</v>
      </c>
      <c r="X419" s="1">
        <f t="shared" si="27"/>
        <v>0</v>
      </c>
    </row>
    <row r="420" spans="2:24" x14ac:dyDescent="0.25">
      <c r="B420" s="11">
        <f>[1]code!B417</f>
        <v>78</v>
      </c>
      <c r="C420" s="2" t="str">
        <f>[1]code!C417</f>
        <v>مريلة إبروم</v>
      </c>
      <c r="D420" s="2" t="str">
        <f>[1]code!D417</f>
        <v>يونيفورم</v>
      </c>
      <c r="E420" s="1" t="str">
        <f>[1]code!E417</f>
        <v>حبة</v>
      </c>
      <c r="F420" s="2">
        <f>[1]code!F417</f>
        <v>0</v>
      </c>
      <c r="G420" s="12">
        <f>[1]code!G417</f>
        <v>92</v>
      </c>
      <c r="I420" s="10">
        <v>0</v>
      </c>
      <c r="J420" s="10">
        <v>0</v>
      </c>
      <c r="K420" s="10">
        <v>0</v>
      </c>
      <c r="L420" s="10">
        <v>0</v>
      </c>
      <c r="M420" s="10" t="str">
        <f>IFERROR(VLOOKUP($B420,[1]INV!$B$7:$H$2575,7,0),"")</f>
        <v/>
      </c>
      <c r="N420" s="10"/>
      <c r="O420" s="10"/>
      <c r="P420" s="10"/>
      <c r="Q420" s="10"/>
      <c r="R420" s="10"/>
      <c r="S420" s="10"/>
      <c r="T420" s="10"/>
      <c r="U420" s="1">
        <f t="shared" si="24"/>
        <v>0</v>
      </c>
      <c r="V420" s="1">
        <f t="shared" si="25"/>
        <v>0</v>
      </c>
      <c r="W420" s="1">
        <f t="shared" si="26"/>
        <v>0</v>
      </c>
      <c r="X420" s="1">
        <f t="shared" si="27"/>
        <v>0</v>
      </c>
    </row>
    <row r="421" spans="2:24" x14ac:dyDescent="0.25">
      <c r="B421" s="11">
        <f>[1]code!B418</f>
        <v>129</v>
      </c>
      <c r="C421" s="2" t="str">
        <f>[1]code!C418</f>
        <v>كاب</v>
      </c>
      <c r="D421" s="2" t="str">
        <f>[1]code!D418</f>
        <v>يونيفورم</v>
      </c>
      <c r="E421" s="1" t="str">
        <f>[1]code!E418</f>
        <v>حبة</v>
      </c>
      <c r="F421" s="2">
        <f>[1]code!F418</f>
        <v>0</v>
      </c>
      <c r="G421" s="12">
        <f>[1]code!G418</f>
        <v>17.25</v>
      </c>
      <c r="I421" s="10">
        <v>0</v>
      </c>
      <c r="J421" s="10">
        <v>0</v>
      </c>
      <c r="K421" s="10">
        <v>0</v>
      </c>
      <c r="L421" s="10">
        <v>0</v>
      </c>
      <c r="M421" s="10" t="str">
        <f>IFERROR(VLOOKUP($B421,[1]INV!$B$7:$H$2575,7,0),"")</f>
        <v/>
      </c>
      <c r="N421" s="10"/>
      <c r="O421" s="10"/>
      <c r="P421" s="10"/>
      <c r="Q421" s="10"/>
      <c r="R421" s="10"/>
      <c r="S421" s="10"/>
      <c r="T421" s="10"/>
      <c r="U421" s="1">
        <f t="shared" si="24"/>
        <v>0</v>
      </c>
      <c r="V421" s="1">
        <f t="shared" si="25"/>
        <v>0</v>
      </c>
      <c r="W421" s="1">
        <f t="shared" si="26"/>
        <v>0</v>
      </c>
      <c r="X421" s="1">
        <f t="shared" si="27"/>
        <v>0</v>
      </c>
    </row>
    <row r="422" spans="2:24" x14ac:dyDescent="0.25">
      <c r="B422" s="11">
        <f>[1]code!B419</f>
        <v>130</v>
      </c>
      <c r="C422" s="2" t="str">
        <f>[1]code!C419</f>
        <v>بنطلون بني</v>
      </c>
      <c r="D422" s="2" t="str">
        <f>[1]code!D419</f>
        <v>يونيفورم</v>
      </c>
      <c r="E422" s="1" t="str">
        <f>[1]code!E419</f>
        <v>حبة</v>
      </c>
      <c r="F422" s="2">
        <f>[1]code!F419</f>
        <v>0</v>
      </c>
      <c r="G422" s="12">
        <f>[1]code!G419</f>
        <v>0</v>
      </c>
      <c r="I422" s="10">
        <v>0</v>
      </c>
      <c r="J422" s="10">
        <v>0</v>
      </c>
      <c r="K422" s="10">
        <v>0</v>
      </c>
      <c r="L422" s="10">
        <v>0</v>
      </c>
      <c r="M422" s="10" t="str">
        <f>IFERROR(VLOOKUP($B422,[1]INV!$B$7:$H$2575,7,0),"")</f>
        <v/>
      </c>
      <c r="N422" s="10"/>
      <c r="O422" s="10"/>
      <c r="P422" s="10"/>
      <c r="Q422" s="10"/>
      <c r="R422" s="10"/>
      <c r="S422" s="10"/>
      <c r="T422" s="10"/>
      <c r="U422" s="1">
        <f t="shared" si="24"/>
        <v>0</v>
      </c>
      <c r="V422" s="1">
        <f t="shared" si="25"/>
        <v>0</v>
      </c>
      <c r="W422" s="1">
        <f t="shared" si="26"/>
        <v>0</v>
      </c>
      <c r="X422" s="1">
        <f t="shared" si="27"/>
        <v>0</v>
      </c>
    </row>
    <row r="423" spans="2:24" x14ac:dyDescent="0.25">
      <c r="B423" s="11">
        <f>[1]code!B420</f>
        <v>155</v>
      </c>
      <c r="C423" s="2" t="str">
        <f>[1]code!C420</f>
        <v>تيشرت أسود</v>
      </c>
      <c r="D423" s="2" t="str">
        <f>[1]code!D420</f>
        <v>يونيفورم</v>
      </c>
      <c r="E423" s="1" t="str">
        <f>[1]code!E420</f>
        <v>حبة</v>
      </c>
      <c r="F423" s="2">
        <f>[1]code!F420</f>
        <v>0</v>
      </c>
      <c r="G423" s="12">
        <f>[1]code!G420</f>
        <v>34.5</v>
      </c>
      <c r="I423" s="10">
        <v>0</v>
      </c>
      <c r="J423" s="10">
        <v>0</v>
      </c>
      <c r="K423" s="10">
        <v>0</v>
      </c>
      <c r="L423" s="10">
        <v>0</v>
      </c>
      <c r="M423" s="10" t="str">
        <f>IFERROR(VLOOKUP($B423,[1]INV!$B$7:$H$2575,7,0),"")</f>
        <v/>
      </c>
      <c r="N423" s="10"/>
      <c r="O423" s="10"/>
      <c r="P423" s="10"/>
      <c r="Q423" s="10"/>
      <c r="R423" s="10"/>
      <c r="S423" s="10"/>
      <c r="T423" s="10"/>
      <c r="U423" s="1">
        <f t="shared" si="24"/>
        <v>0</v>
      </c>
      <c r="V423" s="1">
        <f t="shared" si="25"/>
        <v>0</v>
      </c>
      <c r="W423" s="1">
        <f t="shared" si="26"/>
        <v>0</v>
      </c>
      <c r="X423" s="1">
        <f t="shared" si="27"/>
        <v>0</v>
      </c>
    </row>
    <row r="424" spans="2:24" x14ac:dyDescent="0.25">
      <c r="B424" s="11">
        <f>[1]code!B421</f>
        <v>156</v>
      </c>
      <c r="C424" s="2" t="str">
        <f>[1]code!C421</f>
        <v>تيشرت أحمر</v>
      </c>
      <c r="D424" s="2" t="str">
        <f>[1]code!D421</f>
        <v>يونيفورم</v>
      </c>
      <c r="E424" s="1" t="str">
        <f>[1]code!E421</f>
        <v>حبة</v>
      </c>
      <c r="F424" s="2">
        <f>[1]code!F421</f>
        <v>0</v>
      </c>
      <c r="G424" s="12">
        <f>[1]code!G421</f>
        <v>34.5</v>
      </c>
      <c r="I424" s="10">
        <v>0</v>
      </c>
      <c r="J424" s="10">
        <v>0</v>
      </c>
      <c r="K424" s="10">
        <v>0</v>
      </c>
      <c r="L424" s="10">
        <v>0</v>
      </c>
      <c r="M424" s="10" t="str">
        <f>IFERROR(VLOOKUP($B424,[1]INV!$B$7:$H$2575,7,0),"")</f>
        <v/>
      </c>
      <c r="N424" s="10"/>
      <c r="O424" s="10"/>
      <c r="P424" s="10"/>
      <c r="Q424" s="10"/>
      <c r="R424" s="10"/>
      <c r="S424" s="10"/>
      <c r="T424" s="10"/>
      <c r="U424" s="1">
        <f t="shared" si="24"/>
        <v>0</v>
      </c>
      <c r="V424" s="1">
        <f t="shared" si="25"/>
        <v>0</v>
      </c>
      <c r="W424" s="1">
        <f t="shared" si="26"/>
        <v>0</v>
      </c>
      <c r="X424" s="1">
        <f t="shared" si="27"/>
        <v>0</v>
      </c>
    </row>
    <row r="425" spans="2:24" x14ac:dyDescent="0.25">
      <c r="B425" s="11">
        <f>[1]code!B422</f>
        <v>157</v>
      </c>
      <c r="C425" s="2" t="str">
        <f>[1]code!C422</f>
        <v>معصم أسود</v>
      </c>
      <c r="D425" s="2" t="str">
        <f>[1]code!D422</f>
        <v>يونيفورم</v>
      </c>
      <c r="E425" s="1" t="str">
        <f>[1]code!E422</f>
        <v>حبة</v>
      </c>
      <c r="F425" s="2">
        <f>[1]code!F422</f>
        <v>0</v>
      </c>
      <c r="G425" s="12">
        <f>[1]code!G422</f>
        <v>0</v>
      </c>
      <c r="I425" s="10">
        <v>0</v>
      </c>
      <c r="J425" s="10">
        <v>0</v>
      </c>
      <c r="K425" s="10">
        <v>0</v>
      </c>
      <c r="L425" s="10">
        <v>0</v>
      </c>
      <c r="M425" s="10" t="str">
        <f>IFERROR(VLOOKUP($B425,[1]INV!$B$7:$H$2575,7,0),"")</f>
        <v/>
      </c>
      <c r="N425" s="10"/>
      <c r="O425" s="10"/>
      <c r="P425" s="10"/>
      <c r="Q425" s="10"/>
      <c r="R425" s="10"/>
      <c r="S425" s="10"/>
      <c r="T425" s="10"/>
      <c r="U425" s="1">
        <f t="shared" si="24"/>
        <v>0</v>
      </c>
      <c r="V425" s="1">
        <f t="shared" si="25"/>
        <v>0</v>
      </c>
      <c r="W425" s="1">
        <f t="shared" si="26"/>
        <v>0</v>
      </c>
      <c r="X425" s="1">
        <f t="shared" si="27"/>
        <v>0</v>
      </c>
    </row>
    <row r="426" spans="2:24" x14ac:dyDescent="0.25">
      <c r="B426" s="11">
        <f>[1]code!B423</f>
        <v>274</v>
      </c>
      <c r="C426" s="2" t="str">
        <f>[1]code!C423</f>
        <v>نيم تاق - اسطف</v>
      </c>
      <c r="D426" s="2" t="str">
        <f>[1]code!D423</f>
        <v>يونيفورم</v>
      </c>
      <c r="E426" s="1" t="str">
        <f>[1]code!E423</f>
        <v>حبة</v>
      </c>
      <c r="F426" s="2">
        <f>[1]code!F423</f>
        <v>0</v>
      </c>
      <c r="G426" s="12">
        <f>[1]code!G423</f>
        <v>0</v>
      </c>
      <c r="I426" s="10">
        <v>0</v>
      </c>
      <c r="J426" s="10">
        <v>0</v>
      </c>
      <c r="K426" s="10">
        <v>0</v>
      </c>
      <c r="L426" s="10">
        <v>0</v>
      </c>
      <c r="M426" s="10" t="str">
        <f>IFERROR(VLOOKUP($B426,[1]INV!$B$7:$H$2575,7,0),"")</f>
        <v/>
      </c>
      <c r="N426" s="10"/>
      <c r="O426" s="10"/>
      <c r="P426" s="10"/>
      <c r="Q426" s="10"/>
      <c r="R426" s="10"/>
      <c r="S426" s="10"/>
      <c r="T426" s="10"/>
      <c r="U426" s="1">
        <f t="shared" si="24"/>
        <v>0</v>
      </c>
      <c r="V426" s="1">
        <f t="shared" si="25"/>
        <v>0</v>
      </c>
      <c r="W426" s="1">
        <f t="shared" si="26"/>
        <v>0</v>
      </c>
      <c r="X426" s="1">
        <f t="shared" si="27"/>
        <v>0</v>
      </c>
    </row>
    <row r="427" spans="2:24" x14ac:dyDescent="0.25">
      <c r="B427" s="11">
        <f>[1]code!B424</f>
        <v>102</v>
      </c>
      <c r="C427" s="2" t="str">
        <f>[1]code!C424</f>
        <v>لحم عجل قطع</v>
      </c>
      <c r="D427" s="2" t="str">
        <f>[1]code!D424</f>
        <v>اللحوم</v>
      </c>
      <c r="E427" s="1" t="str">
        <f>[1]code!E424</f>
        <v>كيلو</v>
      </c>
      <c r="F427" s="2" t="str">
        <f>[1]code!F424</f>
        <v>الجوهرة</v>
      </c>
      <c r="G427" s="12">
        <f>[1]code!G424</f>
        <v>49.26</v>
      </c>
      <c r="I427" s="10">
        <v>46.740781059436202</v>
      </c>
      <c r="J427" s="10">
        <v>48.260000000000005</v>
      </c>
      <c r="K427" s="10">
        <v>48.259999999999991</v>
      </c>
      <c r="L427" s="10">
        <v>49.26</v>
      </c>
      <c r="M427" s="10">
        <f>IFERROR(VLOOKUP($B427,[1]INV!$B$7:$H$2575,7,0),"")</f>
        <v>49.26</v>
      </c>
      <c r="N427" s="10"/>
      <c r="O427" s="10"/>
      <c r="P427" s="10"/>
      <c r="Q427" s="10"/>
      <c r="R427" s="10"/>
      <c r="S427" s="10"/>
      <c r="T427" s="10"/>
      <c r="U427" s="1">
        <f t="shared" si="24"/>
        <v>46.740781059436202</v>
      </c>
      <c r="V427" s="1">
        <f t="shared" si="25"/>
        <v>48.260000000000005</v>
      </c>
      <c r="W427" s="1">
        <f t="shared" si="26"/>
        <v>48.259999999999991</v>
      </c>
      <c r="X427" s="1">
        <f t="shared" si="27"/>
        <v>49.26</v>
      </c>
    </row>
    <row r="428" spans="2:24" x14ac:dyDescent="0.25">
      <c r="B428" s="11">
        <f>[1]code!B425</f>
        <v>103</v>
      </c>
      <c r="C428" s="2" t="str">
        <f>[1]code!C425</f>
        <v>لحم غنم قطع</v>
      </c>
      <c r="D428" s="2" t="str">
        <f>[1]code!D425</f>
        <v>اللحوم</v>
      </c>
      <c r="E428" s="1" t="str">
        <f>[1]code!E425</f>
        <v>كيلو</v>
      </c>
      <c r="F428" s="2" t="str">
        <f>[1]code!F425</f>
        <v>الجوهرة</v>
      </c>
      <c r="G428" s="12">
        <f>[1]code!G425</f>
        <v>60.429999999999993</v>
      </c>
      <c r="I428" s="10">
        <v>56.979785221436359</v>
      </c>
      <c r="J428" s="10">
        <v>60.43</v>
      </c>
      <c r="K428" s="10">
        <v>60.429999999999993</v>
      </c>
      <c r="L428" s="10">
        <v>60.429999999999993</v>
      </c>
      <c r="M428" s="10">
        <f>IFERROR(VLOOKUP($B428,[1]INV!$B$7:$H$2575,7,0),"")</f>
        <v>60.429999999999993</v>
      </c>
      <c r="N428" s="10"/>
      <c r="O428" s="10"/>
      <c r="P428" s="10"/>
      <c r="Q428" s="10"/>
      <c r="R428" s="10"/>
      <c r="S428" s="10"/>
      <c r="T428" s="10"/>
      <c r="U428" s="1">
        <f t="shared" si="24"/>
        <v>56.979785221436359</v>
      </c>
      <c r="V428" s="1">
        <f t="shared" si="25"/>
        <v>60.43</v>
      </c>
      <c r="W428" s="1">
        <f t="shared" si="26"/>
        <v>60.429999999999993</v>
      </c>
      <c r="X428" s="1">
        <f t="shared" si="27"/>
        <v>60.429999999999993</v>
      </c>
    </row>
    <row r="429" spans="2:24" x14ac:dyDescent="0.25">
      <c r="B429" s="11">
        <f>[1]code!B426</f>
        <v>599</v>
      </c>
      <c r="C429" s="2" t="str">
        <f>[1]code!C426</f>
        <v>لحم غنم شاورما</v>
      </c>
      <c r="D429" s="2" t="str">
        <f>[1]code!D426</f>
        <v>اللحوم</v>
      </c>
      <c r="E429" s="1" t="str">
        <f>[1]code!E426</f>
        <v>كيلو</v>
      </c>
      <c r="F429" s="2" t="str">
        <f>[1]code!F426</f>
        <v>الجوهرة</v>
      </c>
      <c r="G429" s="12">
        <f>[1]code!G426</f>
        <v>60.429999999999993</v>
      </c>
      <c r="I429" s="10">
        <v>57.051759999999994</v>
      </c>
      <c r="J429" s="10">
        <v>60.43</v>
      </c>
      <c r="K429" s="10">
        <v>60.429999999999993</v>
      </c>
      <c r="L429" s="10">
        <v>60.43</v>
      </c>
      <c r="M429" s="10">
        <f>IFERROR(VLOOKUP($B429,[1]INV!$B$7:$H$2575,7,0),"")</f>
        <v>60.43</v>
      </c>
      <c r="N429" s="10"/>
      <c r="O429" s="10"/>
      <c r="P429" s="10"/>
      <c r="Q429" s="10"/>
      <c r="R429" s="10"/>
      <c r="S429" s="10"/>
      <c r="T429" s="10"/>
      <c r="U429" s="1">
        <f t="shared" si="24"/>
        <v>57.051759999999994</v>
      </c>
      <c r="V429" s="1">
        <f t="shared" si="25"/>
        <v>60.43</v>
      </c>
      <c r="W429" s="1">
        <f t="shared" si="26"/>
        <v>60.429999999999993</v>
      </c>
      <c r="X429" s="1">
        <f t="shared" si="27"/>
        <v>60.43</v>
      </c>
    </row>
    <row r="430" spans="2:24" x14ac:dyDescent="0.25">
      <c r="B430" s="11">
        <f>[1]code!B427</f>
        <v>600</v>
      </c>
      <c r="C430" s="2" t="str">
        <f>[1]code!C427</f>
        <v>لحم عجل شاورما</v>
      </c>
      <c r="D430" s="2" t="str">
        <f>[1]code!D427</f>
        <v>اللحوم</v>
      </c>
      <c r="E430" s="1" t="str">
        <f>[1]code!E427</f>
        <v>كيلو</v>
      </c>
      <c r="F430" s="2" t="str">
        <f>[1]code!F427</f>
        <v>الجوهرة</v>
      </c>
      <c r="G430" s="12">
        <f>[1]code!G427</f>
        <v>49.26</v>
      </c>
      <c r="I430" s="10">
        <v>46.634866763887054</v>
      </c>
      <c r="J430" s="10">
        <v>48.26</v>
      </c>
      <c r="K430" s="10">
        <v>48.26</v>
      </c>
      <c r="L430" s="10">
        <v>49.26</v>
      </c>
      <c r="M430" s="10">
        <f>IFERROR(VLOOKUP($B430,[1]INV!$B$7:$H$2575,7,0),"")</f>
        <v>49.26</v>
      </c>
      <c r="N430" s="10"/>
      <c r="O430" s="10"/>
      <c r="P430" s="10"/>
      <c r="Q430" s="10"/>
      <c r="R430" s="10"/>
      <c r="S430" s="10"/>
      <c r="T430" s="10"/>
      <c r="U430" s="1">
        <f t="shared" si="24"/>
        <v>46.634866763887054</v>
      </c>
      <c r="V430" s="1">
        <f t="shared" si="25"/>
        <v>48.26</v>
      </c>
      <c r="W430" s="1">
        <f t="shared" si="26"/>
        <v>48.26</v>
      </c>
      <c r="X430" s="1">
        <f t="shared" si="27"/>
        <v>49.26</v>
      </c>
    </row>
    <row r="431" spans="2:24" x14ac:dyDescent="0.25">
      <c r="B431" s="11">
        <f>[1]code!B428</f>
        <v>83</v>
      </c>
      <c r="C431" s="2" t="str">
        <f>[1]code!C428</f>
        <v>كبدة</v>
      </c>
      <c r="D431" s="2" t="str">
        <f>[1]code!D428</f>
        <v>اللحوم</v>
      </c>
      <c r="E431" s="1" t="str">
        <f>[1]code!E428</f>
        <v>كيلو</v>
      </c>
      <c r="F431" s="2" t="str">
        <f>[1]code!F428</f>
        <v>الجوهرة</v>
      </c>
      <c r="G431" s="12">
        <f>[1]code!G428</f>
        <v>49.57</v>
      </c>
      <c r="I431" s="10">
        <v>49.57</v>
      </c>
      <c r="J431" s="10">
        <v>49.57</v>
      </c>
      <c r="K431" s="10">
        <v>49.570000000000007</v>
      </c>
      <c r="L431" s="10">
        <v>49.57</v>
      </c>
      <c r="M431" s="10">
        <f>IFERROR(VLOOKUP($B431,[1]INV!$B$7:$H$2575,7,0),"")</f>
        <v>49.569999999999993</v>
      </c>
      <c r="N431" s="10"/>
      <c r="O431" s="10"/>
      <c r="P431" s="10"/>
      <c r="Q431" s="10"/>
      <c r="R431" s="10"/>
      <c r="S431" s="10"/>
      <c r="T431" s="10"/>
      <c r="U431" s="1">
        <f t="shared" si="24"/>
        <v>49.57</v>
      </c>
      <c r="V431" s="1">
        <f t="shared" si="25"/>
        <v>49.57</v>
      </c>
      <c r="W431" s="1">
        <f t="shared" si="26"/>
        <v>49.570000000000007</v>
      </c>
      <c r="X431" s="1">
        <f t="shared" si="27"/>
        <v>49.57</v>
      </c>
    </row>
    <row r="432" spans="2:24" x14ac:dyDescent="0.25">
      <c r="B432" s="11">
        <f>[1]code!B429</f>
        <v>777</v>
      </c>
      <c r="C432" s="2" t="str">
        <f>[1]code!C429</f>
        <v>سجق مصنع</v>
      </c>
      <c r="D432" s="2" t="str">
        <f>[1]code!D429</f>
        <v>اللحوم</v>
      </c>
      <c r="E432" s="1" t="str">
        <f>[1]code!E429</f>
        <v>كيلو</v>
      </c>
      <c r="F432" s="2" t="str">
        <f>[1]code!F429</f>
        <v>الجوهرة</v>
      </c>
      <c r="G432" s="12">
        <f>[1]code!G429</f>
        <v>40</v>
      </c>
      <c r="I432" s="10">
        <v>40</v>
      </c>
      <c r="J432" s="10">
        <v>40</v>
      </c>
      <c r="K432" s="10">
        <v>40</v>
      </c>
      <c r="L432" s="10">
        <v>41</v>
      </c>
      <c r="M432" s="10" t="str">
        <f>IFERROR(VLOOKUP($B432,[1]INV!$B$7:$H$2575,7,0),"")</f>
        <v/>
      </c>
      <c r="N432" s="10"/>
      <c r="O432" s="10"/>
      <c r="P432" s="10"/>
      <c r="Q432" s="10"/>
      <c r="R432" s="10"/>
      <c r="S432" s="10"/>
      <c r="T432" s="10"/>
      <c r="U432" s="1">
        <f t="shared" si="24"/>
        <v>40</v>
      </c>
      <c r="V432" s="1">
        <f t="shared" si="25"/>
        <v>40</v>
      </c>
      <c r="W432" s="1">
        <f t="shared" si="26"/>
        <v>40</v>
      </c>
      <c r="X432" s="1">
        <f t="shared" si="27"/>
        <v>41</v>
      </c>
    </row>
    <row r="433" spans="2:24" x14ac:dyDescent="0.25">
      <c r="B433" s="11">
        <f>[1]code!B430</f>
        <v>159</v>
      </c>
      <c r="C433" s="2" t="str">
        <f>[1]code!C430</f>
        <v>ثوم كبدة</v>
      </c>
      <c r="D433" s="2" t="str">
        <f>[1]code!D430</f>
        <v>منتجات مصنعة</v>
      </c>
      <c r="E433" s="1" t="str">
        <f>[1]code!E430</f>
        <v>كيلو</v>
      </c>
      <c r="F433" s="2">
        <f>[1]code!F430</f>
        <v>0</v>
      </c>
      <c r="G433" s="12">
        <f>[1]code!G430</f>
        <v>0</v>
      </c>
      <c r="I433" s="10">
        <v>0</v>
      </c>
      <c r="J433" s="10">
        <v>0</v>
      </c>
      <c r="K433" s="10">
        <v>0</v>
      </c>
      <c r="L433" s="10">
        <v>0</v>
      </c>
      <c r="M433" s="10" t="str">
        <f>IFERROR(VLOOKUP($B433,[1]INV!$B$7:$H$2575,7,0),"")</f>
        <v/>
      </c>
      <c r="N433" s="10"/>
      <c r="O433" s="10"/>
      <c r="P433" s="10"/>
      <c r="Q433" s="10"/>
      <c r="R433" s="10"/>
      <c r="S433" s="10"/>
      <c r="T433" s="10"/>
      <c r="U433" s="1">
        <f t="shared" si="24"/>
        <v>0</v>
      </c>
      <c r="V433" s="1">
        <f t="shared" si="25"/>
        <v>0</v>
      </c>
      <c r="W433" s="1">
        <f t="shared" si="26"/>
        <v>0</v>
      </c>
      <c r="X433" s="1">
        <f t="shared" si="27"/>
        <v>0</v>
      </c>
    </row>
    <row r="434" spans="2:24" x14ac:dyDescent="0.25">
      <c r="B434" s="11">
        <f>[1]code!B431</f>
        <v>429</v>
      </c>
      <c r="C434" s="2" t="str">
        <f>[1]code!C431</f>
        <v>ملفية جاهز</v>
      </c>
      <c r="D434" s="2" t="str">
        <f>[1]code!D431</f>
        <v>منتجات مصنعة</v>
      </c>
      <c r="E434" s="1" t="str">
        <f>[1]code!E431</f>
        <v>كيلو</v>
      </c>
      <c r="F434" s="2">
        <f>[1]code!F431</f>
        <v>0</v>
      </c>
      <c r="G434" s="12">
        <f>[1]code!G431</f>
        <v>0</v>
      </c>
      <c r="I434" s="10">
        <v>0</v>
      </c>
      <c r="J434" s="10">
        <v>0</v>
      </c>
      <c r="K434" s="10">
        <v>0</v>
      </c>
      <c r="L434" s="10">
        <v>0</v>
      </c>
      <c r="M434" s="10" t="str">
        <f>IFERROR(VLOOKUP($B434,[1]INV!$B$7:$H$2575,7,0),"")</f>
        <v/>
      </c>
      <c r="N434" s="10"/>
      <c r="O434" s="10"/>
      <c r="P434" s="10"/>
      <c r="Q434" s="10"/>
      <c r="R434" s="10"/>
      <c r="S434" s="10"/>
      <c r="T434" s="10"/>
      <c r="U434" s="1">
        <f t="shared" si="24"/>
        <v>0</v>
      </c>
      <c r="V434" s="1">
        <f t="shared" si="25"/>
        <v>0</v>
      </c>
      <c r="W434" s="1">
        <f t="shared" si="26"/>
        <v>0</v>
      </c>
      <c r="X434" s="1">
        <f t="shared" si="27"/>
        <v>0</v>
      </c>
    </row>
    <row r="435" spans="2:24" x14ac:dyDescent="0.25">
      <c r="B435" s="11">
        <f>[1]code!B432</f>
        <v>430</v>
      </c>
      <c r="C435" s="2" t="str">
        <f>[1]code!C432</f>
        <v>تر</v>
      </c>
      <c r="D435" s="2" t="str">
        <f>[1]code!D432</f>
        <v>منتجات مصنعة</v>
      </c>
      <c r="E435" s="1" t="str">
        <f>[1]code!E432</f>
        <v>حبة</v>
      </c>
      <c r="F435" s="2">
        <f>[1]code!F432</f>
        <v>0</v>
      </c>
      <c r="G435" s="12">
        <f>[1]code!G432</f>
        <v>0</v>
      </c>
      <c r="I435" s="10">
        <v>0</v>
      </c>
      <c r="J435" s="10">
        <v>0</v>
      </c>
      <c r="K435" s="10">
        <v>0</v>
      </c>
      <c r="L435" s="10">
        <v>0</v>
      </c>
      <c r="M435" s="10" t="str">
        <f>IFERROR(VLOOKUP($B435,[1]INV!$B$7:$H$2575,7,0),"")</f>
        <v/>
      </c>
      <c r="N435" s="10"/>
      <c r="O435" s="10"/>
      <c r="P435" s="10"/>
      <c r="Q435" s="10"/>
      <c r="R435" s="10"/>
      <c r="S435" s="10"/>
      <c r="T435" s="10"/>
      <c r="U435" s="1">
        <f t="shared" si="24"/>
        <v>0</v>
      </c>
      <c r="V435" s="1">
        <f t="shared" si="25"/>
        <v>0</v>
      </c>
      <c r="W435" s="1">
        <f t="shared" si="26"/>
        <v>0</v>
      </c>
      <c r="X435" s="1">
        <f t="shared" si="27"/>
        <v>0</v>
      </c>
    </row>
    <row r="436" spans="2:24" x14ac:dyDescent="0.25">
      <c r="B436" s="11">
        <f>[1]code!B433</f>
        <v>542</v>
      </c>
      <c r="C436" s="2" t="str">
        <f>[1]code!C433</f>
        <v>عصير مانجو فريش</v>
      </c>
      <c r="D436" s="2" t="str">
        <f>[1]code!D433</f>
        <v>منتجات مصنعة</v>
      </c>
      <c r="E436" s="1" t="str">
        <f>[1]code!E433</f>
        <v>لتر</v>
      </c>
      <c r="F436" s="2">
        <f>[1]code!F433</f>
        <v>0</v>
      </c>
      <c r="G436" s="12">
        <f>[1]code!G433</f>
        <v>0</v>
      </c>
      <c r="I436" s="10">
        <v>0</v>
      </c>
      <c r="J436" s="10">
        <v>0</v>
      </c>
      <c r="K436" s="10">
        <v>0</v>
      </c>
      <c r="L436" s="10">
        <v>0</v>
      </c>
      <c r="M436" s="10" t="str">
        <f>IFERROR(VLOOKUP($B436,[1]INV!$B$7:$H$2575,7,0),"")</f>
        <v/>
      </c>
      <c r="N436" s="10"/>
      <c r="O436" s="10"/>
      <c r="P436" s="10"/>
      <c r="Q436" s="10"/>
      <c r="R436" s="10"/>
      <c r="S436" s="10"/>
      <c r="T436" s="10"/>
      <c r="U436" s="1">
        <f t="shared" si="24"/>
        <v>0</v>
      </c>
      <c r="V436" s="1">
        <f t="shared" si="25"/>
        <v>0</v>
      </c>
      <c r="W436" s="1">
        <f t="shared" si="26"/>
        <v>0</v>
      </c>
      <c r="X436" s="1">
        <f t="shared" si="27"/>
        <v>0</v>
      </c>
    </row>
    <row r="437" spans="2:24" x14ac:dyDescent="0.25">
      <c r="B437" s="11">
        <f>[1]code!B434</f>
        <v>543</v>
      </c>
      <c r="C437" s="2" t="str">
        <f>[1]code!C434</f>
        <v>عصير فراولة فريش</v>
      </c>
      <c r="D437" s="2" t="str">
        <f>[1]code!D434</f>
        <v>منتجات مصنعة</v>
      </c>
      <c r="E437" s="1" t="str">
        <f>[1]code!E434</f>
        <v>لتر</v>
      </c>
      <c r="F437" s="2">
        <f>[1]code!F434</f>
        <v>0</v>
      </c>
      <c r="G437" s="12">
        <f>[1]code!G434</f>
        <v>0</v>
      </c>
      <c r="I437" s="10">
        <v>0</v>
      </c>
      <c r="J437" s="10">
        <v>0</v>
      </c>
      <c r="K437" s="10">
        <v>0</v>
      </c>
      <c r="L437" s="10">
        <v>0</v>
      </c>
      <c r="M437" s="10" t="str">
        <f>IFERROR(VLOOKUP($B437,[1]INV!$B$7:$H$2575,7,0),"")</f>
        <v/>
      </c>
      <c r="N437" s="10"/>
      <c r="O437" s="10"/>
      <c r="P437" s="10"/>
      <c r="Q437" s="10"/>
      <c r="R437" s="10"/>
      <c r="S437" s="10"/>
      <c r="T437" s="10"/>
      <c r="U437" s="1">
        <f t="shared" si="24"/>
        <v>0</v>
      </c>
      <c r="V437" s="1">
        <f t="shared" si="25"/>
        <v>0</v>
      </c>
      <c r="W437" s="1">
        <f t="shared" si="26"/>
        <v>0</v>
      </c>
      <c r="X437" s="1">
        <f t="shared" si="27"/>
        <v>0</v>
      </c>
    </row>
    <row r="438" spans="2:24" x14ac:dyDescent="0.25">
      <c r="B438" s="11">
        <f>[1]code!B435</f>
        <v>590</v>
      </c>
      <c r="C438" s="2" t="str">
        <f>[1]code!C435</f>
        <v>قطعة طرب كبير</v>
      </c>
      <c r="D438" s="2" t="str">
        <f>[1]code!D435</f>
        <v>منتجات مصنعة</v>
      </c>
      <c r="E438" s="1" t="str">
        <f>[1]code!E435</f>
        <v>حبة</v>
      </c>
      <c r="F438" s="2">
        <f>[1]code!F435</f>
        <v>0</v>
      </c>
      <c r="G438" s="12">
        <f>[1]code!G435</f>
        <v>0</v>
      </c>
      <c r="I438" s="10">
        <v>0</v>
      </c>
      <c r="J438" s="10">
        <v>0</v>
      </c>
      <c r="K438" s="10">
        <v>0</v>
      </c>
      <c r="L438" s="10">
        <v>0</v>
      </c>
      <c r="M438" s="10" t="str">
        <f>IFERROR(VLOOKUP($B438,[1]INV!$B$7:$H$2575,7,0),"")</f>
        <v/>
      </c>
      <c r="N438" s="10"/>
      <c r="O438" s="10"/>
      <c r="P438" s="10"/>
      <c r="Q438" s="10"/>
      <c r="R438" s="10"/>
      <c r="S438" s="10"/>
      <c r="T438" s="10"/>
      <c r="U438" s="1">
        <f t="shared" si="24"/>
        <v>0</v>
      </c>
      <c r="V438" s="1">
        <f t="shared" si="25"/>
        <v>0</v>
      </c>
      <c r="W438" s="1">
        <f t="shared" si="26"/>
        <v>0</v>
      </c>
      <c r="X438" s="1">
        <f t="shared" si="27"/>
        <v>0</v>
      </c>
    </row>
    <row r="439" spans="2:24" x14ac:dyDescent="0.25">
      <c r="B439" s="11">
        <f>[1]code!B436</f>
        <v>591</v>
      </c>
      <c r="C439" s="2" t="str">
        <f>[1]code!C436</f>
        <v>قطعة طرب صغير</v>
      </c>
      <c r="D439" s="2" t="str">
        <f>[1]code!D436</f>
        <v>منتجات مصنعة</v>
      </c>
      <c r="E439" s="1" t="str">
        <f>[1]code!E436</f>
        <v>حبة</v>
      </c>
      <c r="F439" s="2">
        <f>[1]code!F436</f>
        <v>0</v>
      </c>
      <c r="G439" s="12">
        <f>[1]code!G436</f>
        <v>0</v>
      </c>
      <c r="I439" s="10">
        <v>0</v>
      </c>
      <c r="J439" s="10">
        <v>0</v>
      </c>
      <c r="K439" s="10">
        <v>0</v>
      </c>
      <c r="L439" s="10">
        <v>0</v>
      </c>
      <c r="M439" s="10" t="str">
        <f>IFERROR(VLOOKUP($B439,[1]INV!$B$7:$H$2575,7,0),"")</f>
        <v/>
      </c>
      <c r="N439" s="10"/>
      <c r="O439" s="10"/>
      <c r="P439" s="10"/>
      <c r="Q439" s="10"/>
      <c r="R439" s="10"/>
      <c r="S439" s="10"/>
      <c r="T439" s="10"/>
      <c r="U439" s="1">
        <f t="shared" si="24"/>
        <v>0</v>
      </c>
      <c r="V439" s="1">
        <f t="shared" si="25"/>
        <v>0</v>
      </c>
      <c r="W439" s="1">
        <f t="shared" si="26"/>
        <v>0</v>
      </c>
      <c r="X439" s="1">
        <f t="shared" si="27"/>
        <v>0</v>
      </c>
    </row>
    <row r="440" spans="2:24" x14ac:dyDescent="0.25">
      <c r="B440" s="11">
        <f>[1]code!B437</f>
        <v>592</v>
      </c>
      <c r="C440" s="2" t="str">
        <f>[1]code!C437</f>
        <v>كبدة اسكندراني</v>
      </c>
      <c r="D440" s="2" t="str">
        <f>[1]code!D437</f>
        <v>منتجات مصنعة</v>
      </c>
      <c r="E440" s="1" t="str">
        <f>[1]code!E437</f>
        <v>كيلو</v>
      </c>
      <c r="F440" s="2">
        <f>[1]code!F437</f>
        <v>0</v>
      </c>
      <c r="G440" s="12">
        <f>[1]code!G437</f>
        <v>0</v>
      </c>
      <c r="I440" s="10">
        <v>0</v>
      </c>
      <c r="J440" s="10">
        <v>0</v>
      </c>
      <c r="K440" s="10">
        <v>0</v>
      </c>
      <c r="L440" s="10">
        <v>0</v>
      </c>
      <c r="M440" s="10" t="str">
        <f>IFERROR(VLOOKUP($B440,[1]INV!$B$7:$H$2575,7,0),"")</f>
        <v/>
      </c>
      <c r="N440" s="10"/>
      <c r="O440" s="10"/>
      <c r="P440" s="10"/>
      <c r="Q440" s="10"/>
      <c r="R440" s="10"/>
      <c r="S440" s="10"/>
      <c r="T440" s="10"/>
      <c r="U440" s="1">
        <f t="shared" si="24"/>
        <v>0</v>
      </c>
      <c r="V440" s="1">
        <f t="shared" si="25"/>
        <v>0</v>
      </c>
      <c r="W440" s="1">
        <f t="shared" si="26"/>
        <v>0</v>
      </c>
      <c r="X440" s="1">
        <f t="shared" si="27"/>
        <v>0</v>
      </c>
    </row>
    <row r="441" spans="2:24" x14ac:dyDescent="0.25">
      <c r="B441" s="11">
        <f>[1]code!B438</f>
        <v>625</v>
      </c>
      <c r="C441" s="2" t="str">
        <f>[1]code!C438</f>
        <v>صلصة مكرونة</v>
      </c>
      <c r="D441" s="2" t="str">
        <f>[1]code!D438</f>
        <v>منتجات مصنعة</v>
      </c>
      <c r="E441" s="1" t="str">
        <f>[1]code!E438</f>
        <v>كيلو</v>
      </c>
      <c r="F441" s="2">
        <f>[1]code!F438</f>
        <v>0</v>
      </c>
      <c r="G441" s="12">
        <f>[1]code!G438</f>
        <v>0</v>
      </c>
      <c r="I441" s="10">
        <v>0</v>
      </c>
      <c r="J441" s="10">
        <v>0</v>
      </c>
      <c r="K441" s="10">
        <v>0</v>
      </c>
      <c r="L441" s="10">
        <v>0</v>
      </c>
      <c r="M441" s="10" t="str">
        <f>IFERROR(VLOOKUP($B441,[1]INV!$B$7:$H$2575,7,0),"")</f>
        <v/>
      </c>
      <c r="N441" s="10"/>
      <c r="O441" s="10"/>
      <c r="P441" s="10"/>
      <c r="Q441" s="10"/>
      <c r="R441" s="10"/>
      <c r="S441" s="10"/>
      <c r="T441" s="10"/>
      <c r="U441" s="1">
        <f t="shared" si="24"/>
        <v>0</v>
      </c>
      <c r="V441" s="1">
        <f t="shared" si="25"/>
        <v>0</v>
      </c>
      <c r="W441" s="1">
        <f t="shared" si="26"/>
        <v>0</v>
      </c>
      <c r="X441" s="1">
        <f t="shared" si="27"/>
        <v>0</v>
      </c>
    </row>
    <row r="442" spans="2:24" x14ac:dyDescent="0.25">
      <c r="B442" s="11">
        <f>[1]code!B439</f>
        <v>742</v>
      </c>
      <c r="C442" s="2" t="str">
        <f>[1]code!C439</f>
        <v>صوص جبنة - المشربية</v>
      </c>
      <c r="D442" s="2" t="str">
        <f>[1]code!D439</f>
        <v>منتجات مصنعة</v>
      </c>
      <c r="E442" s="1" t="str">
        <f>[1]code!E439</f>
        <v>كيلو</v>
      </c>
      <c r="F442" s="2">
        <f>[1]code!F439</f>
        <v>0</v>
      </c>
      <c r="G442" s="12">
        <f>[1]code!G439</f>
        <v>0</v>
      </c>
      <c r="I442" s="10">
        <v>0</v>
      </c>
      <c r="J442" s="10">
        <v>0</v>
      </c>
      <c r="K442" s="10">
        <v>0</v>
      </c>
      <c r="L442" s="10">
        <v>0</v>
      </c>
      <c r="M442" s="10" t="str">
        <f>IFERROR(VLOOKUP($B442,[1]INV!$B$7:$H$2575,7,0),"")</f>
        <v/>
      </c>
      <c r="N442" s="10"/>
      <c r="O442" s="10"/>
      <c r="P442" s="10"/>
      <c r="Q442" s="10"/>
      <c r="R442" s="10"/>
      <c r="S442" s="10"/>
      <c r="T442" s="10"/>
      <c r="U442" s="1">
        <f t="shared" si="24"/>
        <v>0</v>
      </c>
      <c r="V442" s="1">
        <f t="shared" si="25"/>
        <v>0</v>
      </c>
      <c r="W442" s="1">
        <f t="shared" si="26"/>
        <v>0</v>
      </c>
      <c r="X442" s="1">
        <f t="shared" si="27"/>
        <v>0</v>
      </c>
    </row>
    <row r="443" spans="2:24" x14ac:dyDescent="0.25">
      <c r="B443" s="11">
        <f>[1]code!B440</f>
        <v>747</v>
      </c>
      <c r="C443" s="2" t="str">
        <f>[1]code!C440</f>
        <v>عيش شامي المشربية</v>
      </c>
      <c r="D443" s="2" t="str">
        <f>[1]code!D440</f>
        <v>منتجات مصنعة</v>
      </c>
      <c r="E443" s="1" t="str">
        <f>[1]code!E440</f>
        <v>حبة</v>
      </c>
      <c r="F443" s="2">
        <f>[1]code!F440</f>
        <v>0</v>
      </c>
      <c r="G443" s="12">
        <f>[1]code!G440</f>
        <v>0</v>
      </c>
      <c r="I443" s="10">
        <v>0</v>
      </c>
      <c r="J443" s="10">
        <v>0</v>
      </c>
      <c r="K443" s="10">
        <v>0</v>
      </c>
      <c r="L443" s="10">
        <v>0</v>
      </c>
      <c r="M443" s="10" t="str">
        <f>IFERROR(VLOOKUP($B443,[1]INV!$B$7:$H$2575,7,0),"")</f>
        <v/>
      </c>
      <c r="N443" s="10"/>
      <c r="O443" s="10"/>
      <c r="P443" s="10"/>
      <c r="Q443" s="10"/>
      <c r="R443" s="10"/>
      <c r="S443" s="10"/>
      <c r="T443" s="10"/>
      <c r="U443" s="1">
        <f t="shared" si="24"/>
        <v>0</v>
      </c>
      <c r="V443" s="1">
        <f t="shared" si="25"/>
        <v>0</v>
      </c>
      <c r="W443" s="1">
        <f t="shared" si="26"/>
        <v>0</v>
      </c>
      <c r="X443" s="1">
        <f t="shared" si="27"/>
        <v>0</v>
      </c>
    </row>
    <row r="444" spans="2:24" x14ac:dyDescent="0.25">
      <c r="B444" s="11">
        <f>[1]code!B441</f>
        <v>79</v>
      </c>
      <c r="C444" s="2" t="str">
        <f>[1]code!C441</f>
        <v>سلطة طماطم</v>
      </c>
      <c r="D444" s="2" t="str">
        <f>[1]code!D441</f>
        <v>منتجات مصنعة</v>
      </c>
      <c r="E444" s="1" t="str">
        <f>[1]code!E441</f>
        <v>كيلو</v>
      </c>
      <c r="F444" s="2">
        <f>[1]code!F441</f>
        <v>0</v>
      </c>
      <c r="G444" s="12">
        <f>[1]code!G441</f>
        <v>0</v>
      </c>
      <c r="I444" s="10">
        <v>0</v>
      </c>
      <c r="J444" s="10">
        <v>0</v>
      </c>
      <c r="K444" s="10">
        <v>0</v>
      </c>
      <c r="L444" s="10">
        <v>0</v>
      </c>
      <c r="M444" s="10" t="str">
        <f>IFERROR(VLOOKUP($B444,[1]INV!$B$7:$H$2575,7,0),"")</f>
        <v/>
      </c>
      <c r="N444" s="10"/>
      <c r="O444" s="10"/>
      <c r="P444" s="10"/>
      <c r="Q444" s="10"/>
      <c r="R444" s="10"/>
      <c r="S444" s="10"/>
      <c r="T444" s="10"/>
      <c r="U444" s="1">
        <f t="shared" si="24"/>
        <v>0</v>
      </c>
      <c r="V444" s="1">
        <f t="shared" si="25"/>
        <v>0</v>
      </c>
      <c r="W444" s="1">
        <f t="shared" si="26"/>
        <v>0</v>
      </c>
      <c r="X444" s="1">
        <f t="shared" si="27"/>
        <v>0</v>
      </c>
    </row>
    <row r="445" spans="2:24" x14ac:dyDescent="0.25">
      <c r="B445" s="11">
        <f>[1]code!B442</f>
        <v>80</v>
      </c>
      <c r="C445" s="2" t="str">
        <f>[1]code!C442</f>
        <v>سلطة طحينة</v>
      </c>
      <c r="D445" s="2" t="str">
        <f>[1]code!D442</f>
        <v>منتجات مصنعة</v>
      </c>
      <c r="E445" s="1" t="str">
        <f>[1]code!E442</f>
        <v>كيلو</v>
      </c>
      <c r="F445" s="2">
        <f>[1]code!F442</f>
        <v>0</v>
      </c>
      <c r="G445" s="12">
        <f>[1]code!G442</f>
        <v>0</v>
      </c>
      <c r="I445" s="10">
        <v>0</v>
      </c>
      <c r="J445" s="10">
        <v>0</v>
      </c>
      <c r="K445" s="10">
        <v>0</v>
      </c>
      <c r="L445" s="10">
        <v>0</v>
      </c>
      <c r="M445" s="10" t="str">
        <f>IFERROR(VLOOKUP($B445,[1]INV!$B$7:$H$2575,7,0),"")</f>
        <v/>
      </c>
      <c r="N445" s="10"/>
      <c r="O445" s="10"/>
      <c r="P445" s="10"/>
      <c r="Q445" s="10"/>
      <c r="R445" s="10"/>
      <c r="S445" s="10"/>
      <c r="T445" s="10"/>
      <c r="U445" s="1">
        <f t="shared" si="24"/>
        <v>0</v>
      </c>
      <c r="V445" s="1">
        <f t="shared" si="25"/>
        <v>0</v>
      </c>
      <c r="W445" s="1">
        <f t="shared" si="26"/>
        <v>0</v>
      </c>
      <c r="X445" s="1">
        <f t="shared" si="27"/>
        <v>0</v>
      </c>
    </row>
    <row r="446" spans="2:24" x14ac:dyDescent="0.25">
      <c r="B446" s="11">
        <f>[1]code!B443</f>
        <v>81</v>
      </c>
      <c r="C446" s="2" t="str">
        <f>[1]code!C443</f>
        <v>سلطة سجق</v>
      </c>
      <c r="D446" s="2" t="str">
        <f>[1]code!D443</f>
        <v>منتجات مصنعة</v>
      </c>
      <c r="E446" s="1" t="str">
        <f>[1]code!E443</f>
        <v>كيلو</v>
      </c>
      <c r="F446" s="2">
        <f>[1]code!F443</f>
        <v>0</v>
      </c>
      <c r="G446" s="12">
        <f>[1]code!G443</f>
        <v>0</v>
      </c>
      <c r="I446" s="10">
        <v>0</v>
      </c>
      <c r="J446" s="10">
        <v>0</v>
      </c>
      <c r="K446" s="10">
        <v>0</v>
      </c>
      <c r="L446" s="10">
        <v>0</v>
      </c>
      <c r="M446" s="10" t="str">
        <f>IFERROR(VLOOKUP($B446,[1]INV!$B$7:$H$2575,7,0),"")</f>
        <v/>
      </c>
      <c r="N446" s="10"/>
      <c r="O446" s="10"/>
      <c r="P446" s="10"/>
      <c r="Q446" s="10"/>
      <c r="R446" s="10"/>
      <c r="S446" s="10"/>
      <c r="T446" s="10"/>
      <c r="U446" s="1">
        <f t="shared" si="24"/>
        <v>0</v>
      </c>
      <c r="V446" s="1">
        <f t="shared" si="25"/>
        <v>0</v>
      </c>
      <c r="W446" s="1">
        <f t="shared" si="26"/>
        <v>0</v>
      </c>
      <c r="X446" s="1">
        <f t="shared" si="27"/>
        <v>0</v>
      </c>
    </row>
    <row r="447" spans="2:24" x14ac:dyDescent="0.25">
      <c r="B447" s="11">
        <f>[1]code!B444</f>
        <v>82</v>
      </c>
      <c r="C447" s="2" t="str">
        <f>[1]code!C444</f>
        <v>كفتة</v>
      </c>
      <c r="D447" s="2" t="str">
        <f>[1]code!D444</f>
        <v>منتجات مصنعة</v>
      </c>
      <c r="E447" s="1" t="str">
        <f>[1]code!E444</f>
        <v>كيلو</v>
      </c>
      <c r="F447" s="2">
        <f>[1]code!F444</f>
        <v>0</v>
      </c>
      <c r="G447" s="12">
        <f>[1]code!G444</f>
        <v>0</v>
      </c>
      <c r="I447" s="10">
        <v>0</v>
      </c>
      <c r="J447" s="10">
        <v>0</v>
      </c>
      <c r="K447" s="10">
        <v>0</v>
      </c>
      <c r="L447" s="10">
        <v>0</v>
      </c>
      <c r="M447" s="10" t="str">
        <f>IFERROR(VLOOKUP($B447,[1]INV!$B$7:$H$2575,7,0),"")</f>
        <v/>
      </c>
      <c r="N447" s="10"/>
      <c r="O447" s="10"/>
      <c r="P447" s="10"/>
      <c r="Q447" s="10"/>
      <c r="R447" s="10"/>
      <c r="S447" s="10"/>
      <c r="T447" s="10"/>
      <c r="U447" s="1">
        <f t="shared" si="24"/>
        <v>0</v>
      </c>
      <c r="V447" s="1">
        <f t="shared" si="25"/>
        <v>0</v>
      </c>
      <c r="W447" s="1">
        <f t="shared" si="26"/>
        <v>0</v>
      </c>
      <c r="X447" s="1">
        <f t="shared" si="27"/>
        <v>0</v>
      </c>
    </row>
    <row r="448" spans="2:24" x14ac:dyDescent="0.25">
      <c r="B448" s="11">
        <f>[1]code!B445</f>
        <v>84</v>
      </c>
      <c r="C448" s="2" t="str">
        <f>[1]code!C445</f>
        <v xml:space="preserve">سجق </v>
      </c>
      <c r="D448" s="2" t="str">
        <f>[1]code!D445</f>
        <v>منتجات مصنعة</v>
      </c>
      <c r="E448" s="1" t="str">
        <f>[1]code!E445</f>
        <v>كيلو</v>
      </c>
      <c r="F448" s="2">
        <f>[1]code!F445</f>
        <v>0</v>
      </c>
      <c r="G448" s="12">
        <f>[1]code!G445</f>
        <v>0</v>
      </c>
      <c r="I448" s="10">
        <v>0</v>
      </c>
      <c r="J448" s="10">
        <v>0</v>
      </c>
      <c r="K448" s="10">
        <v>0</v>
      </c>
      <c r="L448" s="10">
        <v>0</v>
      </c>
      <c r="M448" s="10" t="str">
        <f>IFERROR(VLOOKUP($B448,[1]INV!$B$7:$H$2575,7,0),"")</f>
        <v/>
      </c>
      <c r="N448" s="10"/>
      <c r="O448" s="10"/>
      <c r="P448" s="10"/>
      <c r="Q448" s="10"/>
      <c r="R448" s="10"/>
      <c r="S448" s="10"/>
      <c r="T448" s="10"/>
      <c r="U448" s="1">
        <f t="shared" si="24"/>
        <v>0</v>
      </c>
      <c r="V448" s="1">
        <f t="shared" si="25"/>
        <v>0</v>
      </c>
      <c r="W448" s="1">
        <f t="shared" si="26"/>
        <v>0</v>
      </c>
      <c r="X448" s="1">
        <f t="shared" si="27"/>
        <v>0</v>
      </c>
    </row>
    <row r="449" spans="2:24" x14ac:dyDescent="0.25">
      <c r="B449" s="11">
        <f>[1]code!B446</f>
        <v>85</v>
      </c>
      <c r="C449" s="2" t="str">
        <f>[1]code!C446</f>
        <v>حواوشي</v>
      </c>
      <c r="D449" s="2" t="str">
        <f>[1]code!D446</f>
        <v>منتجات مصنعة</v>
      </c>
      <c r="E449" s="1" t="str">
        <f>[1]code!E446</f>
        <v>كيلو</v>
      </c>
      <c r="F449" s="2">
        <f>[1]code!F446</f>
        <v>0</v>
      </c>
      <c r="G449" s="12">
        <f>[1]code!G446</f>
        <v>0</v>
      </c>
      <c r="I449" s="10">
        <v>0</v>
      </c>
      <c r="J449" s="10">
        <v>0</v>
      </c>
      <c r="K449" s="10">
        <v>0</v>
      </c>
      <c r="L449" s="10">
        <v>0</v>
      </c>
      <c r="M449" s="10" t="str">
        <f>IFERROR(VLOOKUP($B449,[1]INV!$B$7:$H$2575,7,0),"")</f>
        <v/>
      </c>
      <c r="N449" s="10"/>
      <c r="O449" s="10"/>
      <c r="P449" s="10"/>
      <c r="Q449" s="10"/>
      <c r="R449" s="10"/>
      <c r="S449" s="10"/>
      <c r="T449" s="10"/>
      <c r="U449" s="1">
        <f t="shared" si="24"/>
        <v>0</v>
      </c>
      <c r="V449" s="1">
        <f t="shared" si="25"/>
        <v>0</v>
      </c>
      <c r="W449" s="1">
        <f t="shared" si="26"/>
        <v>0</v>
      </c>
      <c r="X449" s="1">
        <f t="shared" si="27"/>
        <v>0</v>
      </c>
    </row>
    <row r="450" spans="2:24" x14ac:dyDescent="0.25">
      <c r="B450" s="11">
        <f>[1]code!B447</f>
        <v>88</v>
      </c>
      <c r="C450" s="2" t="str">
        <f>[1]code!C447</f>
        <v>شاورما مصنعة</v>
      </c>
      <c r="D450" s="2" t="str">
        <f>[1]code!D447</f>
        <v>منتجات مصنعة</v>
      </c>
      <c r="E450" s="1" t="str">
        <f>[1]code!E447</f>
        <v>كيلو</v>
      </c>
      <c r="F450" s="2">
        <f>[1]code!F447</f>
        <v>0</v>
      </c>
      <c r="G450" s="12">
        <f>[1]code!G447</f>
        <v>0</v>
      </c>
      <c r="I450" s="10">
        <v>0</v>
      </c>
      <c r="J450" s="10">
        <v>0</v>
      </c>
      <c r="K450" s="10">
        <v>0</v>
      </c>
      <c r="L450" s="10">
        <v>0</v>
      </c>
      <c r="M450" s="10" t="str">
        <f>IFERROR(VLOOKUP($B450,[1]INV!$B$7:$H$2575,7,0),"")</f>
        <v/>
      </c>
      <c r="N450" s="10"/>
      <c r="O450" s="10"/>
      <c r="P450" s="10"/>
      <c r="Q450" s="10"/>
      <c r="R450" s="10"/>
      <c r="S450" s="10"/>
      <c r="T450" s="10"/>
      <c r="U450" s="1">
        <f t="shared" si="24"/>
        <v>0</v>
      </c>
      <c r="V450" s="1">
        <f t="shared" si="25"/>
        <v>0</v>
      </c>
      <c r="W450" s="1">
        <f t="shared" si="26"/>
        <v>0</v>
      </c>
      <c r="X450" s="1">
        <f t="shared" si="27"/>
        <v>0</v>
      </c>
    </row>
    <row r="451" spans="2:24" x14ac:dyDescent="0.25">
      <c r="B451" s="11">
        <f>[1]code!B448</f>
        <v>818</v>
      </c>
      <c r="C451" s="2" t="str">
        <f>[1]code!C448</f>
        <v>ليمون بلدي</v>
      </c>
      <c r="D451" s="2" t="str">
        <f>[1]code!D448</f>
        <v>الخضار</v>
      </c>
      <c r="E451" s="1" t="str">
        <f>[1]code!E448</f>
        <v>كيلو</v>
      </c>
      <c r="F451" s="2">
        <f>[1]code!F448</f>
        <v>0</v>
      </c>
      <c r="G451" s="12">
        <f>[1]code!G448</f>
        <v>0</v>
      </c>
      <c r="I451" s="10">
        <v>0</v>
      </c>
      <c r="J451" s="10">
        <v>0</v>
      </c>
      <c r="K451" s="10">
        <v>0</v>
      </c>
      <c r="L451" s="10">
        <v>0</v>
      </c>
      <c r="M451" s="10" t="str">
        <f>IFERROR(VLOOKUP($B451,[1]INV!$B$7:$H$2575,7,0),"")</f>
        <v/>
      </c>
      <c r="N451" s="10"/>
      <c r="O451" s="10"/>
      <c r="P451" s="10"/>
      <c r="Q451" s="10"/>
      <c r="R451" s="10"/>
      <c r="S451" s="10"/>
      <c r="T451" s="10"/>
      <c r="U451" s="1">
        <f t="shared" si="24"/>
        <v>0</v>
      </c>
      <c r="V451" s="1">
        <f t="shared" si="25"/>
        <v>0</v>
      </c>
      <c r="W451" s="1">
        <f t="shared" si="26"/>
        <v>0</v>
      </c>
      <c r="X451" s="1">
        <f t="shared" si="27"/>
        <v>0</v>
      </c>
    </row>
    <row r="452" spans="2:24" x14ac:dyDescent="0.25">
      <c r="B452" s="11">
        <f>[1]code!B449</f>
        <v>548</v>
      </c>
      <c r="C452" s="2" t="str">
        <f>[1]code!C449</f>
        <v>كيوي</v>
      </c>
      <c r="D452" s="2" t="str">
        <f>[1]code!D449</f>
        <v>الخضار</v>
      </c>
      <c r="E452" s="1" t="str">
        <f>[1]code!E449</f>
        <v>كيلو</v>
      </c>
      <c r="F452" s="2" t="str">
        <f>[1]code!F449</f>
        <v>فروت مكس</v>
      </c>
      <c r="G452" s="12">
        <f>[1]code!G449</f>
        <v>9.2000000000000011</v>
      </c>
      <c r="I452" s="10">
        <v>9.2000000000000011</v>
      </c>
      <c r="J452" s="10">
        <v>9.2000000000000011</v>
      </c>
      <c r="K452" s="10">
        <v>9.1999999999999993</v>
      </c>
      <c r="L452" s="10">
        <v>9.1999999999999993</v>
      </c>
      <c r="M452" s="10">
        <f>IFERROR(VLOOKUP($B452,[1]INV!$B$7:$H$2575,7,0),"")</f>
        <v>9.1999999999999993</v>
      </c>
      <c r="N452" s="10"/>
      <c r="O452" s="10"/>
      <c r="P452" s="10"/>
      <c r="Q452" s="10"/>
      <c r="R452" s="10"/>
      <c r="S452" s="10"/>
      <c r="T452" s="10"/>
      <c r="U452" s="1">
        <f t="shared" si="24"/>
        <v>9.2000000000000011</v>
      </c>
      <c r="V452" s="1">
        <f t="shared" si="25"/>
        <v>9.2000000000000011</v>
      </c>
      <c r="W452" s="1">
        <f t="shared" si="26"/>
        <v>9.1999999999999993</v>
      </c>
      <c r="X452" s="1">
        <f t="shared" si="27"/>
        <v>9.1999999999999993</v>
      </c>
    </row>
    <row r="453" spans="2:24" x14ac:dyDescent="0.25">
      <c r="B453" s="11">
        <f>[1]code!B450</f>
        <v>100</v>
      </c>
      <c r="C453" s="2" t="str">
        <f>[1]code!C450</f>
        <v>شمام</v>
      </c>
      <c r="D453" s="2" t="str">
        <f>[1]code!D450</f>
        <v>الخضار</v>
      </c>
      <c r="E453" s="1" t="str">
        <f>[1]code!E450</f>
        <v>كيلو</v>
      </c>
      <c r="F453" s="2" t="str">
        <f>[1]code!F450</f>
        <v>فروت مكس</v>
      </c>
      <c r="G453" s="12">
        <f>[1]code!G450</f>
        <v>4.37</v>
      </c>
      <c r="I453" s="10">
        <v>0</v>
      </c>
      <c r="J453" s="10">
        <v>0</v>
      </c>
      <c r="K453" s="10">
        <v>0</v>
      </c>
      <c r="L453" s="10">
        <v>0</v>
      </c>
      <c r="M453" s="10">
        <f>IFERROR(VLOOKUP($B453,[1]INV!$B$7:$H$2575,7,0),"")</f>
        <v>4.37</v>
      </c>
      <c r="N453" s="10"/>
      <c r="O453" s="10"/>
      <c r="P453" s="10"/>
      <c r="Q453" s="10"/>
      <c r="R453" s="10"/>
      <c r="S453" s="10"/>
      <c r="T453" s="10"/>
      <c r="U453" s="1">
        <f t="shared" si="24"/>
        <v>0</v>
      </c>
      <c r="V453" s="1">
        <f t="shared" si="25"/>
        <v>0</v>
      </c>
      <c r="W453" s="1">
        <f t="shared" si="26"/>
        <v>0</v>
      </c>
      <c r="X453" s="1">
        <f t="shared" si="27"/>
        <v>0</v>
      </c>
    </row>
    <row r="454" spans="2:24" x14ac:dyDescent="0.25">
      <c r="B454" s="11">
        <f>[1]code!B451</f>
        <v>124</v>
      </c>
      <c r="C454" s="2" t="str">
        <f>[1]code!C451</f>
        <v>جرجير</v>
      </c>
      <c r="D454" s="2" t="str">
        <f>[1]code!D451</f>
        <v>الخضار</v>
      </c>
      <c r="E454" s="1" t="str">
        <f>[1]code!E451</f>
        <v>كيلو</v>
      </c>
      <c r="F454" s="2" t="str">
        <f>[1]code!F451</f>
        <v>فروت مكس</v>
      </c>
      <c r="G454" s="12">
        <f>[1]code!G451</f>
        <v>4.6000000000000005</v>
      </c>
      <c r="I454" s="10">
        <v>4.6000000000000005</v>
      </c>
      <c r="J454" s="10">
        <v>4.5999999999999996</v>
      </c>
      <c r="K454" s="10">
        <v>4.6000000000000005</v>
      </c>
      <c r="L454" s="10">
        <v>4.5999999999999988</v>
      </c>
      <c r="M454" s="10">
        <f>IFERROR(VLOOKUP($B454,[1]INV!$B$7:$H$2575,7,0),"")</f>
        <v>4.5999999999999996</v>
      </c>
      <c r="N454" s="10"/>
      <c r="O454" s="10"/>
      <c r="P454" s="10"/>
      <c r="Q454" s="10"/>
      <c r="R454" s="10"/>
      <c r="S454" s="10"/>
      <c r="T454" s="10"/>
      <c r="U454" s="1">
        <f t="shared" si="24"/>
        <v>4.6000000000000005</v>
      </c>
      <c r="V454" s="1">
        <f t="shared" si="25"/>
        <v>4.5999999999999996</v>
      </c>
      <c r="W454" s="1">
        <f t="shared" si="26"/>
        <v>4.6000000000000005</v>
      </c>
      <c r="X454" s="1">
        <f t="shared" si="27"/>
        <v>4.5999999999999988</v>
      </c>
    </row>
    <row r="455" spans="2:24" x14ac:dyDescent="0.25">
      <c r="B455" s="11">
        <f>[1]code!B452</f>
        <v>125</v>
      </c>
      <c r="C455" s="2" t="str">
        <f>[1]code!C452</f>
        <v>نعناع</v>
      </c>
      <c r="D455" s="2" t="str">
        <f>[1]code!D452</f>
        <v>الخضار</v>
      </c>
      <c r="E455" s="1" t="str">
        <f>[1]code!E452</f>
        <v>كيلو</v>
      </c>
      <c r="F455" s="2" t="str">
        <f>[1]code!F452</f>
        <v>فروت مكس</v>
      </c>
      <c r="G455" s="12">
        <f>[1]code!G452</f>
        <v>4.5999999999999988</v>
      </c>
      <c r="I455" s="10">
        <v>4.5999999999999988</v>
      </c>
      <c r="J455" s="10">
        <v>4.6000000000000005</v>
      </c>
      <c r="K455" s="10">
        <v>4.5999999999999996</v>
      </c>
      <c r="L455" s="10">
        <v>4.5999999999999996</v>
      </c>
      <c r="M455" s="10">
        <f>IFERROR(VLOOKUP($B455,[1]INV!$B$7:$H$2575,7,0),"")</f>
        <v>4.5999999999999988</v>
      </c>
      <c r="N455" s="10"/>
      <c r="O455" s="10"/>
      <c r="P455" s="10"/>
      <c r="Q455" s="10"/>
      <c r="R455" s="10"/>
      <c r="S455" s="10"/>
      <c r="T455" s="10"/>
      <c r="U455" s="1">
        <f t="shared" si="24"/>
        <v>4.5999999999999988</v>
      </c>
      <c r="V455" s="1">
        <f t="shared" si="25"/>
        <v>4.6000000000000005</v>
      </c>
      <c r="W455" s="1">
        <f t="shared" si="26"/>
        <v>4.5999999999999996</v>
      </c>
      <c r="X455" s="1">
        <f t="shared" si="27"/>
        <v>4.5999999999999996</v>
      </c>
    </row>
    <row r="456" spans="2:24" x14ac:dyDescent="0.25">
      <c r="B456" s="11">
        <f>[1]code!B453</f>
        <v>126</v>
      </c>
      <c r="C456" s="2" t="str">
        <f>[1]code!C453</f>
        <v>بصل برنواز</v>
      </c>
      <c r="D456" s="2" t="str">
        <f>[1]code!D453</f>
        <v>الخضار</v>
      </c>
      <c r="E456" s="1" t="str">
        <f>[1]code!E453</f>
        <v>كيلو</v>
      </c>
      <c r="F456" s="2">
        <f>[1]code!F453</f>
        <v>0</v>
      </c>
      <c r="G456" s="12">
        <f>[1]code!G453</f>
        <v>0</v>
      </c>
      <c r="I456" s="10">
        <v>0</v>
      </c>
      <c r="J456" s="10">
        <v>0</v>
      </c>
      <c r="K456" s="10">
        <v>0</v>
      </c>
      <c r="L456" s="10">
        <v>0</v>
      </c>
      <c r="M456" s="10" t="str">
        <f>IFERROR(VLOOKUP($B456,[1]INV!$B$7:$H$2575,7,0),"")</f>
        <v/>
      </c>
      <c r="N456" s="10"/>
      <c r="O456" s="10"/>
      <c r="P456" s="10"/>
      <c r="Q456" s="10"/>
      <c r="R456" s="10"/>
      <c r="S456" s="10"/>
      <c r="T456" s="10"/>
      <c r="U456" s="1">
        <f t="shared" ref="U456:U519" si="28">IF($I456="",$G456,$I456)</f>
        <v>0</v>
      </c>
      <c r="V456" s="1">
        <f t="shared" ref="V456:V519" si="29">IF($J456="",$I456,$J456)</f>
        <v>0</v>
      </c>
      <c r="W456" s="1">
        <f t="shared" ref="W456:W519" si="30">IF($K456="",$J456,$K456)</f>
        <v>0</v>
      </c>
      <c r="X456" s="1">
        <f t="shared" ref="X456:X519" si="31">IF($L456="",$K456,$L456)</f>
        <v>0</v>
      </c>
    </row>
    <row r="457" spans="2:24" x14ac:dyDescent="0.25">
      <c r="B457" s="11">
        <f>[1]code!B454</f>
        <v>518</v>
      </c>
      <c r="C457" s="2" t="str">
        <f>[1]code!C454</f>
        <v>ليمون كبدة</v>
      </c>
      <c r="D457" s="2" t="str">
        <f>[1]code!D454</f>
        <v>الخضار</v>
      </c>
      <c r="E457" s="1" t="str">
        <f>[1]code!E454</f>
        <v>كيلو</v>
      </c>
      <c r="F457" s="2" t="str">
        <f>[1]code!F454</f>
        <v>فروت مكس</v>
      </c>
      <c r="G457" s="12">
        <f>[1]code!G454</f>
        <v>6.8999999999999995</v>
      </c>
      <c r="I457" s="10">
        <v>6.8999999999999995</v>
      </c>
      <c r="J457" s="10">
        <v>6.9</v>
      </c>
      <c r="K457" s="10">
        <v>6.9000000000000021</v>
      </c>
      <c r="L457" s="10">
        <v>6.9000000000000012</v>
      </c>
      <c r="M457" s="10">
        <f>IFERROR(VLOOKUP($B457,[1]INV!$B$7:$H$2575,7,0),"")</f>
        <v>6.8762068965517233</v>
      </c>
      <c r="N457" s="10"/>
      <c r="O457" s="10"/>
      <c r="P457" s="10"/>
      <c r="Q457" s="10"/>
      <c r="R457" s="10"/>
      <c r="S457" s="10"/>
      <c r="T457" s="10"/>
      <c r="U457" s="1">
        <f t="shared" si="28"/>
        <v>6.8999999999999995</v>
      </c>
      <c r="V457" s="1">
        <f t="shared" si="29"/>
        <v>6.9</v>
      </c>
      <c r="W457" s="1">
        <f t="shared" si="30"/>
        <v>6.9000000000000021</v>
      </c>
      <c r="X457" s="1">
        <f t="shared" si="31"/>
        <v>6.9000000000000012</v>
      </c>
    </row>
    <row r="458" spans="2:24" x14ac:dyDescent="0.25">
      <c r="B458" s="11">
        <f>[1]code!B455</f>
        <v>544</v>
      </c>
      <c r="C458" s="2" t="str">
        <f>[1]code!C455</f>
        <v>مانجو</v>
      </c>
      <c r="D458" s="2" t="str">
        <f>[1]code!D455</f>
        <v>الخضار</v>
      </c>
      <c r="E458" s="1" t="str">
        <f>[1]code!E455</f>
        <v>كيلو</v>
      </c>
      <c r="F458" s="2" t="str">
        <f>[1]code!F455</f>
        <v>فروت مكس</v>
      </c>
      <c r="G458" s="12">
        <f>[1]code!G455</f>
        <v>10.35</v>
      </c>
      <c r="I458" s="10">
        <v>10.35</v>
      </c>
      <c r="J458" s="10">
        <v>10.350000000000003</v>
      </c>
      <c r="K458" s="10">
        <v>10.350000000000001</v>
      </c>
      <c r="L458" s="10">
        <v>10.349999999999998</v>
      </c>
      <c r="M458" s="10">
        <f>IFERROR(VLOOKUP($B458,[1]INV!$B$7:$H$2575,7,0),"")</f>
        <v>10.350000000000001</v>
      </c>
      <c r="N458" s="10"/>
      <c r="O458" s="10"/>
      <c r="P458" s="10"/>
      <c r="Q458" s="10"/>
      <c r="R458" s="10"/>
      <c r="S458" s="10"/>
      <c r="T458" s="10"/>
      <c r="U458" s="1">
        <f t="shared" si="28"/>
        <v>10.35</v>
      </c>
      <c r="V458" s="1">
        <f t="shared" si="29"/>
        <v>10.350000000000003</v>
      </c>
      <c r="W458" s="1">
        <f t="shared" si="30"/>
        <v>10.350000000000001</v>
      </c>
      <c r="X458" s="1">
        <f t="shared" si="31"/>
        <v>10.349999999999998</v>
      </c>
    </row>
    <row r="459" spans="2:24" x14ac:dyDescent="0.25">
      <c r="B459" s="11">
        <f>[1]code!B456</f>
        <v>576</v>
      </c>
      <c r="C459" s="2" t="str">
        <f>[1]code!C456</f>
        <v>كوسا</v>
      </c>
      <c r="D459" s="2" t="str">
        <f>[1]code!D456</f>
        <v>الخضار</v>
      </c>
      <c r="E459" s="1" t="str">
        <f>[1]code!E456</f>
        <v>كيلو</v>
      </c>
      <c r="F459" s="2" t="str">
        <f>[1]code!F456</f>
        <v>فروت مكس</v>
      </c>
      <c r="G459" s="12">
        <f>[1]code!G456</f>
        <v>4.6000000000000005</v>
      </c>
      <c r="I459" s="10">
        <v>4.6000000000000005</v>
      </c>
      <c r="J459" s="10">
        <v>4.6000000000000014</v>
      </c>
      <c r="K459" s="10">
        <v>4.5999999999999996</v>
      </c>
      <c r="L459" s="10">
        <v>4.6000000000000005</v>
      </c>
      <c r="M459" s="10">
        <f>IFERROR(VLOOKUP($B459,[1]INV!$B$7:$H$2575,7,0),"")</f>
        <v>4.6000000000000005</v>
      </c>
      <c r="N459" s="10"/>
      <c r="O459" s="10"/>
      <c r="P459" s="10"/>
      <c r="Q459" s="10"/>
      <c r="R459" s="10"/>
      <c r="S459" s="10"/>
      <c r="T459" s="10"/>
      <c r="U459" s="1">
        <f t="shared" si="28"/>
        <v>4.6000000000000005</v>
      </c>
      <c r="V459" s="1">
        <f t="shared" si="29"/>
        <v>4.6000000000000014</v>
      </c>
      <c r="W459" s="1">
        <f t="shared" si="30"/>
        <v>4.5999999999999996</v>
      </c>
      <c r="X459" s="1">
        <f t="shared" si="31"/>
        <v>4.6000000000000005</v>
      </c>
    </row>
    <row r="460" spans="2:24" x14ac:dyDescent="0.25">
      <c r="B460" s="11">
        <f>[1]code!B457</f>
        <v>583</v>
      </c>
      <c r="C460" s="2" t="str">
        <f>[1]code!C457</f>
        <v>جزر</v>
      </c>
      <c r="D460" s="2" t="str">
        <f>[1]code!D457</f>
        <v>الخضار</v>
      </c>
      <c r="E460" s="1" t="str">
        <f>[1]code!E457</f>
        <v>كيلو</v>
      </c>
      <c r="F460" s="2" t="str">
        <f>[1]code!F457</f>
        <v>فروت مكس</v>
      </c>
      <c r="G460" s="12">
        <f>[1]code!G457</f>
        <v>4.5999999999999988</v>
      </c>
      <c r="I460" s="10">
        <v>4.5999999999999988</v>
      </c>
      <c r="J460" s="10">
        <v>4.6000000000000014</v>
      </c>
      <c r="K460" s="10">
        <v>4.6000000000000005</v>
      </c>
      <c r="L460" s="10">
        <v>4.6000000000000005</v>
      </c>
      <c r="M460" s="10">
        <f>IFERROR(VLOOKUP($B460,[1]INV!$B$7:$H$2575,7,0),"")</f>
        <v>4.5999999999999996</v>
      </c>
      <c r="N460" s="10"/>
      <c r="O460" s="10"/>
      <c r="P460" s="10"/>
      <c r="Q460" s="10"/>
      <c r="R460" s="10"/>
      <c r="S460" s="10"/>
      <c r="T460" s="10"/>
      <c r="U460" s="1">
        <f t="shared" si="28"/>
        <v>4.5999999999999988</v>
      </c>
      <c r="V460" s="1">
        <f t="shared" si="29"/>
        <v>4.6000000000000014</v>
      </c>
      <c r="W460" s="1">
        <f t="shared" si="30"/>
        <v>4.6000000000000005</v>
      </c>
      <c r="X460" s="1">
        <f t="shared" si="31"/>
        <v>4.6000000000000005</v>
      </c>
    </row>
    <row r="461" spans="2:24" x14ac:dyDescent="0.25">
      <c r="B461" s="11">
        <f>[1]code!B458</f>
        <v>755</v>
      </c>
      <c r="C461" s="2" t="str">
        <f>[1]code!C458</f>
        <v>بصل جوانح</v>
      </c>
      <c r="D461" s="2" t="str">
        <f>[1]code!D458</f>
        <v>الخضار</v>
      </c>
      <c r="E461" s="1" t="str">
        <f>[1]code!E458</f>
        <v>كيلو</v>
      </c>
      <c r="F461" s="2">
        <f>[1]code!F458</f>
        <v>0</v>
      </c>
      <c r="G461" s="12">
        <f>[1]code!G458</f>
        <v>0</v>
      </c>
      <c r="I461" s="10">
        <v>0</v>
      </c>
      <c r="J461" s="10">
        <v>0</v>
      </c>
      <c r="K461" s="10">
        <v>0</v>
      </c>
      <c r="L461" s="10">
        <v>0</v>
      </c>
      <c r="M461" s="10" t="str">
        <f>IFERROR(VLOOKUP($B461,[1]INV!$B$7:$H$2575,7,0),"")</f>
        <v/>
      </c>
      <c r="N461" s="10"/>
      <c r="O461" s="10"/>
      <c r="P461" s="10"/>
      <c r="Q461" s="10"/>
      <c r="R461" s="10"/>
      <c r="S461" s="10"/>
      <c r="T461" s="10"/>
      <c r="U461" s="1">
        <f t="shared" si="28"/>
        <v>0</v>
      </c>
      <c r="V461" s="1">
        <f t="shared" si="29"/>
        <v>0</v>
      </c>
      <c r="W461" s="1">
        <f t="shared" si="30"/>
        <v>0</v>
      </c>
      <c r="X461" s="1">
        <f t="shared" si="31"/>
        <v>0</v>
      </c>
    </row>
    <row r="462" spans="2:24" x14ac:dyDescent="0.25">
      <c r="B462" s="11">
        <f>[1]code!B459</f>
        <v>89</v>
      </c>
      <c r="C462" s="2" t="str">
        <f>[1]code!C459</f>
        <v>طماطم</v>
      </c>
      <c r="D462" s="2" t="str">
        <f>[1]code!D459</f>
        <v>الخضار</v>
      </c>
      <c r="E462" s="1" t="str">
        <f>[1]code!E459</f>
        <v>كيلو</v>
      </c>
      <c r="F462" s="2" t="str">
        <f>[1]code!F459</f>
        <v>فروت مكس</v>
      </c>
      <c r="G462" s="12">
        <f>[1]code!G459</f>
        <v>4.0249999999999995</v>
      </c>
      <c r="I462" s="10">
        <v>4.0249999999999995</v>
      </c>
      <c r="J462" s="10">
        <v>3.4499999999999997</v>
      </c>
      <c r="K462" s="10">
        <v>3.4500000000000006</v>
      </c>
      <c r="L462" s="10">
        <v>4.3346877556585754</v>
      </c>
      <c r="M462" s="10">
        <f>IFERROR(VLOOKUP($B462,[1]INV!$B$7:$H$2575,7,0),"")</f>
        <v>4.6000000000000005</v>
      </c>
      <c r="N462" s="10"/>
      <c r="O462" s="10"/>
      <c r="P462" s="10"/>
      <c r="Q462" s="10"/>
      <c r="R462" s="10"/>
      <c r="S462" s="10"/>
      <c r="T462" s="10"/>
      <c r="U462" s="1">
        <f t="shared" si="28"/>
        <v>4.0249999999999995</v>
      </c>
      <c r="V462" s="1">
        <f t="shared" si="29"/>
        <v>3.4499999999999997</v>
      </c>
      <c r="W462" s="1">
        <f t="shared" si="30"/>
        <v>3.4500000000000006</v>
      </c>
      <c r="X462" s="1">
        <f t="shared" si="31"/>
        <v>4.3346877556585754</v>
      </c>
    </row>
    <row r="463" spans="2:24" x14ac:dyDescent="0.25">
      <c r="B463" s="11">
        <f>[1]code!B460</f>
        <v>91</v>
      </c>
      <c r="C463" s="2" t="str">
        <f>[1]code!C460</f>
        <v>بصل احمر</v>
      </c>
      <c r="D463" s="2" t="str">
        <f>[1]code!D460</f>
        <v>الخضار</v>
      </c>
      <c r="E463" s="1" t="str">
        <f>[1]code!E460</f>
        <v>كيلو</v>
      </c>
      <c r="F463" s="2" t="str">
        <f>[1]code!F460</f>
        <v>فروت مكس</v>
      </c>
      <c r="G463" s="12">
        <f>[1]code!G460</f>
        <v>3.4500000000000011</v>
      </c>
      <c r="I463" s="10">
        <v>3.4500000000000011</v>
      </c>
      <c r="J463" s="10">
        <v>3.45</v>
      </c>
      <c r="K463" s="10">
        <v>3.4499999999999997</v>
      </c>
      <c r="L463" s="10">
        <v>3.45</v>
      </c>
      <c r="M463" s="10">
        <f>IFERROR(VLOOKUP($B463,[1]INV!$B$7:$H$2575,7,0),"")</f>
        <v>3.4500000000000006</v>
      </c>
      <c r="N463" s="10"/>
      <c r="O463" s="10"/>
      <c r="P463" s="10"/>
      <c r="Q463" s="10"/>
      <c r="R463" s="10"/>
      <c r="S463" s="10"/>
      <c r="T463" s="10"/>
      <c r="U463" s="1">
        <f t="shared" si="28"/>
        <v>3.4500000000000011</v>
      </c>
      <c r="V463" s="1">
        <f t="shared" si="29"/>
        <v>3.45</v>
      </c>
      <c r="W463" s="1">
        <f t="shared" si="30"/>
        <v>3.4499999999999997</v>
      </c>
      <c r="X463" s="1">
        <f t="shared" si="31"/>
        <v>3.45</v>
      </c>
    </row>
    <row r="464" spans="2:24" x14ac:dyDescent="0.25">
      <c r="B464" s="11">
        <f>[1]code!B461</f>
        <v>93</v>
      </c>
      <c r="C464" s="2" t="str">
        <f>[1]code!C461</f>
        <v>بقدونس</v>
      </c>
      <c r="D464" s="2" t="str">
        <f>[1]code!D461</f>
        <v>الخضار</v>
      </c>
      <c r="E464" s="1" t="str">
        <f>[1]code!E461</f>
        <v>كيلو</v>
      </c>
      <c r="F464" s="2" t="str">
        <f>[1]code!F461</f>
        <v>فروت مكس</v>
      </c>
      <c r="G464" s="12">
        <f>[1]code!G461</f>
        <v>4.5999999999999996</v>
      </c>
      <c r="I464" s="10">
        <v>4.5999999999999996</v>
      </c>
      <c r="J464" s="10">
        <v>4.5999999999999996</v>
      </c>
      <c r="K464" s="10">
        <v>4.5999999999999996</v>
      </c>
      <c r="L464" s="10">
        <v>4.5999999999999996</v>
      </c>
      <c r="M464" s="10">
        <f>IFERROR(VLOOKUP($B464,[1]INV!$B$7:$H$2575,7,0),"")</f>
        <v>4.6000000000000005</v>
      </c>
      <c r="N464" s="10"/>
      <c r="O464" s="10"/>
      <c r="P464" s="10"/>
      <c r="Q464" s="10"/>
      <c r="R464" s="10"/>
      <c r="S464" s="10"/>
      <c r="T464" s="10"/>
      <c r="U464" s="1">
        <f t="shared" si="28"/>
        <v>4.5999999999999996</v>
      </c>
      <c r="V464" s="1">
        <f t="shared" si="29"/>
        <v>4.5999999999999996</v>
      </c>
      <c r="W464" s="1">
        <f t="shared" si="30"/>
        <v>4.5999999999999996</v>
      </c>
      <c r="X464" s="1">
        <f t="shared" si="31"/>
        <v>4.5999999999999996</v>
      </c>
    </row>
    <row r="465" spans="2:24" x14ac:dyDescent="0.25">
      <c r="B465" s="11">
        <f>[1]code!B462</f>
        <v>94</v>
      </c>
      <c r="C465" s="2" t="str">
        <f>[1]code!C462</f>
        <v>فلفل رومى الوان</v>
      </c>
      <c r="D465" s="2" t="str">
        <f>[1]code!D462</f>
        <v>الخضار</v>
      </c>
      <c r="E465" s="1" t="str">
        <f>[1]code!E462</f>
        <v>كيلو</v>
      </c>
      <c r="F465" s="2" t="str">
        <f>[1]code!F462</f>
        <v>فروت مكس</v>
      </c>
      <c r="G465" s="12">
        <f>[1]code!G462</f>
        <v>9.1999999999999993</v>
      </c>
      <c r="I465" s="10">
        <v>9.1999999999999993</v>
      </c>
      <c r="J465" s="10">
        <v>9.2000000000000011</v>
      </c>
      <c r="K465" s="10">
        <v>9.2000000000000011</v>
      </c>
      <c r="L465" s="10">
        <v>9.2000000000000011</v>
      </c>
      <c r="M465" s="10">
        <f>IFERROR(VLOOKUP($B465,[1]INV!$B$7:$H$2575,7,0),"")</f>
        <v>9.2000000000000011</v>
      </c>
      <c r="N465" s="10"/>
      <c r="O465" s="10"/>
      <c r="P465" s="10"/>
      <c r="Q465" s="10"/>
      <c r="R465" s="10"/>
      <c r="S465" s="10"/>
      <c r="T465" s="10"/>
      <c r="U465" s="1">
        <f t="shared" si="28"/>
        <v>9.1999999999999993</v>
      </c>
      <c r="V465" s="1">
        <f t="shared" si="29"/>
        <v>9.2000000000000011</v>
      </c>
      <c r="W465" s="1">
        <f t="shared" si="30"/>
        <v>9.2000000000000011</v>
      </c>
      <c r="X465" s="1">
        <f t="shared" si="31"/>
        <v>9.2000000000000011</v>
      </c>
    </row>
    <row r="466" spans="2:24" x14ac:dyDescent="0.25">
      <c r="B466" s="11">
        <f>[1]code!B463</f>
        <v>95</v>
      </c>
      <c r="C466" s="2" t="str">
        <f>[1]code!C463</f>
        <v xml:space="preserve">ثوم </v>
      </c>
      <c r="D466" s="2" t="str">
        <f>[1]code!D463</f>
        <v>الخضار</v>
      </c>
      <c r="E466" s="1" t="str">
        <f>[1]code!E463</f>
        <v>كيلو</v>
      </c>
      <c r="F466" s="2" t="str">
        <f>[1]code!F463</f>
        <v>فروت مكس</v>
      </c>
      <c r="G466" s="12">
        <f>[1]code!G463</f>
        <v>11.5</v>
      </c>
      <c r="I466" s="10">
        <v>11.5</v>
      </c>
      <c r="J466" s="10">
        <v>11.500000000000004</v>
      </c>
      <c r="K466" s="10">
        <v>11.500000000000002</v>
      </c>
      <c r="L466" s="10">
        <v>11.500000000000002</v>
      </c>
      <c r="M466" s="10">
        <f>IFERROR(VLOOKUP($B466,[1]INV!$B$7:$H$2575,7,0),"")</f>
        <v>11.500000000000005</v>
      </c>
      <c r="N466" s="10"/>
      <c r="O466" s="10"/>
      <c r="P466" s="10"/>
      <c r="Q466" s="10"/>
      <c r="R466" s="10"/>
      <c r="S466" s="10"/>
      <c r="T466" s="10"/>
      <c r="U466" s="1">
        <f t="shared" si="28"/>
        <v>11.5</v>
      </c>
      <c r="V466" s="1">
        <f t="shared" si="29"/>
        <v>11.500000000000004</v>
      </c>
      <c r="W466" s="1">
        <f t="shared" si="30"/>
        <v>11.500000000000002</v>
      </c>
      <c r="X466" s="1">
        <f t="shared" si="31"/>
        <v>11.500000000000002</v>
      </c>
    </row>
    <row r="467" spans="2:24" x14ac:dyDescent="0.25">
      <c r="B467" s="11">
        <f>[1]code!B464</f>
        <v>96</v>
      </c>
      <c r="C467" s="2" t="str">
        <f>[1]code!C464</f>
        <v>بطاطس</v>
      </c>
      <c r="D467" s="2" t="str">
        <f>[1]code!D464</f>
        <v>الخضار</v>
      </c>
      <c r="E467" s="1" t="str">
        <f>[1]code!E464</f>
        <v>كيلو</v>
      </c>
      <c r="F467" s="2" t="str">
        <f>[1]code!F464</f>
        <v>فروت مكس</v>
      </c>
      <c r="G467" s="12">
        <f>[1]code!G464</f>
        <v>3.45</v>
      </c>
      <c r="I467" s="10">
        <v>3.45</v>
      </c>
      <c r="J467" s="10">
        <v>3.4499999999999993</v>
      </c>
      <c r="K467" s="10">
        <v>3.45</v>
      </c>
      <c r="L467" s="10">
        <v>3.4499999999999997</v>
      </c>
      <c r="M467" s="10">
        <f>IFERROR(VLOOKUP($B467,[1]INV!$B$7:$H$2575,7,0),"")</f>
        <v>3.4499999999999997</v>
      </c>
      <c r="N467" s="10"/>
      <c r="O467" s="10"/>
      <c r="P467" s="10"/>
      <c r="Q467" s="10"/>
      <c r="R467" s="10"/>
      <c r="S467" s="10"/>
      <c r="T467" s="10"/>
      <c r="U467" s="1">
        <f t="shared" si="28"/>
        <v>3.45</v>
      </c>
      <c r="V467" s="1">
        <f t="shared" si="29"/>
        <v>3.4499999999999993</v>
      </c>
      <c r="W467" s="1">
        <f t="shared" si="30"/>
        <v>3.45</v>
      </c>
      <c r="X467" s="1">
        <f t="shared" si="31"/>
        <v>3.4499999999999997</v>
      </c>
    </row>
    <row r="468" spans="2:24" x14ac:dyDescent="0.25">
      <c r="B468" s="11">
        <f>[1]code!B465</f>
        <v>97</v>
      </c>
      <c r="C468" s="2" t="str">
        <f>[1]code!C465</f>
        <v>فلفل مشاوى</v>
      </c>
      <c r="D468" s="2" t="str">
        <f>[1]code!D465</f>
        <v>الخضار</v>
      </c>
      <c r="E468" s="1" t="str">
        <f>[1]code!E465</f>
        <v>كيلو</v>
      </c>
      <c r="F468" s="2" t="str">
        <f>[1]code!F465</f>
        <v>فروت مكس</v>
      </c>
      <c r="G468" s="12">
        <f>[1]code!G465</f>
        <v>5.7500000000000009</v>
      </c>
      <c r="I468" s="10">
        <v>5.7500000000000009</v>
      </c>
      <c r="J468" s="10">
        <v>5.75</v>
      </c>
      <c r="K468" s="10">
        <v>5.75</v>
      </c>
      <c r="L468" s="10">
        <v>5.75</v>
      </c>
      <c r="M468" s="10">
        <f>IFERROR(VLOOKUP($B468,[1]INV!$B$7:$H$2575,7,0),"")</f>
        <v>5.75</v>
      </c>
      <c r="N468" s="10"/>
      <c r="O468" s="10"/>
      <c r="P468" s="10"/>
      <c r="Q468" s="10"/>
      <c r="R468" s="10"/>
      <c r="S468" s="10"/>
      <c r="T468" s="10"/>
      <c r="U468" s="1">
        <f t="shared" si="28"/>
        <v>5.7500000000000009</v>
      </c>
      <c r="V468" s="1">
        <f t="shared" si="29"/>
        <v>5.75</v>
      </c>
      <c r="W468" s="1">
        <f t="shared" si="30"/>
        <v>5.75</v>
      </c>
      <c r="X468" s="1">
        <f t="shared" si="31"/>
        <v>5.75</v>
      </c>
    </row>
    <row r="469" spans="2:24" x14ac:dyDescent="0.25">
      <c r="B469" s="11">
        <f>[1]code!B466</f>
        <v>98</v>
      </c>
      <c r="C469" s="2" t="str">
        <f>[1]code!C466</f>
        <v xml:space="preserve">ليمون </v>
      </c>
      <c r="D469" s="2" t="str">
        <f>[1]code!D466</f>
        <v>الخضار</v>
      </c>
      <c r="E469" s="1" t="str">
        <f>[1]code!E466</f>
        <v>كيلو</v>
      </c>
      <c r="F469" s="2" t="str">
        <f>[1]code!F466</f>
        <v>فروت مكس</v>
      </c>
      <c r="G469" s="12">
        <f>[1]code!G466</f>
        <v>5.7500000000000009</v>
      </c>
      <c r="I469" s="10">
        <v>5.7500000000000009</v>
      </c>
      <c r="J469" s="10">
        <v>5.75</v>
      </c>
      <c r="K469" s="10">
        <v>5.75</v>
      </c>
      <c r="L469" s="10">
        <v>5.75</v>
      </c>
      <c r="M469" s="10">
        <f>IFERROR(VLOOKUP($B469,[1]INV!$B$7:$H$2575,7,0),"")</f>
        <v>5.75</v>
      </c>
      <c r="N469" s="10"/>
      <c r="O469" s="10"/>
      <c r="P469" s="10"/>
      <c r="Q469" s="10"/>
      <c r="R469" s="10"/>
      <c r="S469" s="10"/>
      <c r="T469" s="10"/>
      <c r="U469" s="1">
        <f t="shared" si="28"/>
        <v>5.7500000000000009</v>
      </c>
      <c r="V469" s="1">
        <f t="shared" si="29"/>
        <v>5.75</v>
      </c>
      <c r="W469" s="1">
        <f t="shared" si="30"/>
        <v>5.75</v>
      </c>
      <c r="X469" s="1">
        <f t="shared" si="31"/>
        <v>5.75</v>
      </c>
    </row>
    <row r="470" spans="2:24" x14ac:dyDescent="0.25">
      <c r="B470" s="11">
        <f>[1]code!B467</f>
        <v>99</v>
      </c>
      <c r="C470" s="2" t="str">
        <f>[1]code!C467</f>
        <v>بطيخ</v>
      </c>
      <c r="D470" s="2" t="str">
        <f>[1]code!D467</f>
        <v>الخضار</v>
      </c>
      <c r="E470" s="1" t="str">
        <f>[1]code!E467</f>
        <v>كيلو</v>
      </c>
      <c r="F470" s="2" t="str">
        <f>[1]code!F467</f>
        <v>فروت مكس</v>
      </c>
      <c r="G470" s="12">
        <f>[1]code!G467</f>
        <v>3.4499999999999993</v>
      </c>
      <c r="I470" s="10">
        <v>3.4499999999999993</v>
      </c>
      <c r="J470" s="10">
        <v>3.45</v>
      </c>
      <c r="K470" s="10">
        <v>3.4500000000000011</v>
      </c>
      <c r="L470" s="10">
        <v>4.0972918411895476</v>
      </c>
      <c r="M470" s="10">
        <f>IFERROR(VLOOKUP($B470,[1]INV!$B$7:$H$2575,7,0),"")</f>
        <v>4.3125</v>
      </c>
      <c r="N470" s="10"/>
      <c r="O470" s="10"/>
      <c r="P470" s="10"/>
      <c r="Q470" s="10"/>
      <c r="R470" s="10"/>
      <c r="S470" s="10"/>
      <c r="T470" s="10"/>
      <c r="U470" s="1">
        <f t="shared" si="28"/>
        <v>3.4499999999999993</v>
      </c>
      <c r="V470" s="1">
        <f t="shared" si="29"/>
        <v>3.45</v>
      </c>
      <c r="W470" s="1">
        <f t="shared" si="30"/>
        <v>3.4500000000000011</v>
      </c>
      <c r="X470" s="1">
        <f t="shared" si="31"/>
        <v>4.0972918411895476</v>
      </c>
    </row>
    <row r="471" spans="2:24" x14ac:dyDescent="0.25">
      <c r="B471" s="11">
        <f>[1]code!B468</f>
        <v>90</v>
      </c>
      <c r="C471" s="2" t="str">
        <f>[1]code!C468</f>
        <v>بصل ابيض</v>
      </c>
      <c r="D471" s="2" t="str">
        <f>[1]code!D468</f>
        <v>الخضار</v>
      </c>
      <c r="E471" s="1" t="str">
        <f>[1]code!E468</f>
        <v>كيلو</v>
      </c>
      <c r="F471" s="2" t="str">
        <f>[1]code!F468</f>
        <v>فروت مكس</v>
      </c>
      <c r="G471" s="12">
        <f>[1]code!G468</f>
        <v>4.370000000000001</v>
      </c>
      <c r="I471" s="10">
        <v>4.370000000000001</v>
      </c>
      <c r="J471" s="10">
        <v>4.3699999999999992</v>
      </c>
      <c r="K471" s="10">
        <v>4.37</v>
      </c>
      <c r="L471" s="10">
        <v>4.37</v>
      </c>
      <c r="M471" s="10">
        <f>IFERROR(VLOOKUP($B471,[1]INV!$B$7:$H$2575,7,0),"")</f>
        <v>4.3699999999999992</v>
      </c>
      <c r="N471" s="10"/>
      <c r="O471" s="10"/>
      <c r="P471" s="10"/>
      <c r="Q471" s="10"/>
      <c r="R471" s="10"/>
      <c r="S471" s="10"/>
      <c r="T471" s="10"/>
      <c r="U471" s="1">
        <f t="shared" si="28"/>
        <v>4.370000000000001</v>
      </c>
      <c r="V471" s="1">
        <f t="shared" si="29"/>
        <v>4.3699999999999992</v>
      </c>
      <c r="W471" s="1">
        <f t="shared" si="30"/>
        <v>4.37</v>
      </c>
      <c r="X471" s="1">
        <f t="shared" si="31"/>
        <v>4.37</v>
      </c>
    </row>
    <row r="472" spans="2:24" x14ac:dyDescent="0.25">
      <c r="B472" s="11">
        <f>[1]code!B469</f>
        <v>546</v>
      </c>
      <c r="C472" s="2" t="str">
        <f>[1]code!C469</f>
        <v>كزبرة</v>
      </c>
      <c r="D472" s="2" t="str">
        <f>[1]code!D469</f>
        <v>الخضار</v>
      </c>
      <c r="E472" s="1" t="str">
        <f>[1]code!E469</f>
        <v>كيلو</v>
      </c>
      <c r="F472" s="2" t="str">
        <f>[1]code!F469</f>
        <v>فروت مكس</v>
      </c>
      <c r="G472" s="12">
        <f>[1]code!G469</f>
        <v>4.6000000000000005</v>
      </c>
      <c r="I472" s="10">
        <v>4.6000000000000005</v>
      </c>
      <c r="J472" s="10">
        <v>4.5999999999999988</v>
      </c>
      <c r="K472" s="10">
        <v>4.6000000000000005</v>
      </c>
      <c r="L472" s="10">
        <v>4.5999999999999988</v>
      </c>
      <c r="M472" s="10">
        <f>IFERROR(VLOOKUP($B472,[1]INV!$B$7:$H$2575,7,0),"")</f>
        <v>4.5999999999999996</v>
      </c>
      <c r="N472" s="10"/>
      <c r="O472" s="10"/>
      <c r="P472" s="10"/>
      <c r="Q472" s="10"/>
      <c r="R472" s="10"/>
      <c r="S472" s="10"/>
      <c r="T472" s="10"/>
      <c r="U472" s="1">
        <f t="shared" si="28"/>
        <v>4.6000000000000005</v>
      </c>
      <c r="V472" s="1">
        <f t="shared" si="29"/>
        <v>4.5999999999999988</v>
      </c>
      <c r="W472" s="1">
        <f t="shared" si="30"/>
        <v>4.6000000000000005</v>
      </c>
      <c r="X472" s="1">
        <f t="shared" si="31"/>
        <v>4.5999999999999988</v>
      </c>
    </row>
    <row r="473" spans="2:24" x14ac:dyDescent="0.25">
      <c r="B473" s="11">
        <f>[1]code!B470</f>
        <v>101</v>
      </c>
      <c r="C473" s="2" t="str">
        <f>[1]code!C470</f>
        <v>فلفل رومى اخضر</v>
      </c>
      <c r="D473" s="2" t="str">
        <f>[1]code!D470</f>
        <v>الخضار</v>
      </c>
      <c r="E473" s="1" t="str">
        <f>[1]code!E470</f>
        <v>كيلو</v>
      </c>
      <c r="F473" s="2" t="str">
        <f>[1]code!F470</f>
        <v>فروت مكس</v>
      </c>
      <c r="G473" s="12">
        <f>[1]code!G470</f>
        <v>4.5999999999999988</v>
      </c>
      <c r="I473" s="10">
        <v>4.5999999999999988</v>
      </c>
      <c r="J473" s="10">
        <v>4.6000000000000005</v>
      </c>
      <c r="K473" s="10">
        <v>4.5999999999999996</v>
      </c>
      <c r="L473" s="10">
        <v>4.6000000000000005</v>
      </c>
      <c r="M473" s="10">
        <f>IFERROR(VLOOKUP($B473,[1]INV!$B$7:$H$2575,7,0),"")</f>
        <v>4.5999999999999996</v>
      </c>
      <c r="N473" s="10"/>
      <c r="O473" s="10"/>
      <c r="P473" s="10"/>
      <c r="Q473" s="10"/>
      <c r="R473" s="10"/>
      <c r="S473" s="10"/>
      <c r="T473" s="10"/>
      <c r="U473" s="1">
        <f t="shared" si="28"/>
        <v>4.5999999999999988</v>
      </c>
      <c r="V473" s="1">
        <f t="shared" si="29"/>
        <v>4.6000000000000005</v>
      </c>
      <c r="W473" s="1">
        <f t="shared" si="30"/>
        <v>4.5999999999999996</v>
      </c>
      <c r="X473" s="1">
        <f t="shared" si="31"/>
        <v>4.6000000000000005</v>
      </c>
    </row>
    <row r="474" spans="2:24" x14ac:dyDescent="0.25">
      <c r="B474" s="11">
        <f>[1]code!B471</f>
        <v>421</v>
      </c>
      <c r="C474" s="2" t="str">
        <f>[1]code!C471</f>
        <v>بسبوسة حلا</v>
      </c>
      <c r="D474" s="2" t="str">
        <f>[1]code!D471</f>
        <v>مواد غذائية (طحينة)</v>
      </c>
      <c r="E474" s="1" t="str">
        <f>[1]code!E471</f>
        <v>كيلو</v>
      </c>
      <c r="F474" s="2">
        <f>[1]code!F471</f>
        <v>0</v>
      </c>
      <c r="G474" s="12">
        <f>[1]code!G471</f>
        <v>0</v>
      </c>
      <c r="I474" s="10">
        <v>0</v>
      </c>
      <c r="J474" s="10">
        <v>0</v>
      </c>
      <c r="K474" s="10">
        <v>0</v>
      </c>
      <c r="L474" s="10">
        <v>0</v>
      </c>
      <c r="M474" s="10" t="str">
        <f>IFERROR(VLOOKUP($B474,[1]INV!$B$7:$H$2575,7,0),"")</f>
        <v/>
      </c>
      <c r="N474" s="10"/>
      <c r="O474" s="10"/>
      <c r="P474" s="10"/>
      <c r="Q474" s="10"/>
      <c r="R474" s="10"/>
      <c r="S474" s="10"/>
      <c r="T474" s="10"/>
      <c r="U474" s="1">
        <f t="shared" si="28"/>
        <v>0</v>
      </c>
      <c r="V474" s="1">
        <f t="shared" si="29"/>
        <v>0</v>
      </c>
      <c r="W474" s="1">
        <f t="shared" si="30"/>
        <v>0</v>
      </c>
      <c r="X474" s="1">
        <f t="shared" si="31"/>
        <v>0</v>
      </c>
    </row>
    <row r="475" spans="2:24" x14ac:dyDescent="0.25">
      <c r="B475" s="11">
        <f>[1]code!B472</f>
        <v>407</v>
      </c>
      <c r="C475" s="2" t="str">
        <f>[1]code!C472</f>
        <v>كنافة حلا</v>
      </c>
      <c r="D475" s="2" t="str">
        <f>[1]code!D472</f>
        <v>مواد غذائية (طحينة)</v>
      </c>
      <c r="E475" s="1" t="str">
        <f>[1]code!E472</f>
        <v>كيلو</v>
      </c>
      <c r="F475" s="2">
        <f>[1]code!F472</f>
        <v>0</v>
      </c>
      <c r="G475" s="12">
        <f>[1]code!G472</f>
        <v>0</v>
      </c>
      <c r="I475" s="10">
        <v>0</v>
      </c>
      <c r="J475" s="10">
        <v>0</v>
      </c>
      <c r="K475" s="10">
        <v>0</v>
      </c>
      <c r="L475" s="10">
        <v>0</v>
      </c>
      <c r="M475" s="10" t="str">
        <f>IFERROR(VLOOKUP($B475,[1]INV!$B$7:$H$2575,7,0),"")</f>
        <v/>
      </c>
      <c r="N475" s="10"/>
      <c r="O475" s="10"/>
      <c r="P475" s="10"/>
      <c r="Q475" s="10"/>
      <c r="R475" s="10"/>
      <c r="S475" s="10"/>
      <c r="T475" s="10"/>
      <c r="U475" s="1">
        <f t="shared" si="28"/>
        <v>0</v>
      </c>
      <c r="V475" s="1">
        <f t="shared" si="29"/>
        <v>0</v>
      </c>
      <c r="W475" s="1">
        <f t="shared" si="30"/>
        <v>0</v>
      </c>
      <c r="X475" s="1">
        <f t="shared" si="31"/>
        <v>0</v>
      </c>
    </row>
    <row r="476" spans="2:24" x14ac:dyDescent="0.25">
      <c r="B476" s="11">
        <f>[1]code!B473</f>
        <v>105</v>
      </c>
      <c r="C476" s="2" t="str">
        <f>[1]code!C473</f>
        <v>منديل طرب</v>
      </c>
      <c r="D476" s="2" t="str">
        <f>[1]code!D473</f>
        <v>اللحوم المساعدة</v>
      </c>
      <c r="E476" s="1" t="str">
        <f>[1]code!E473</f>
        <v>كيلو</v>
      </c>
      <c r="F476" s="2" t="str">
        <f>[1]code!F473</f>
        <v>مشتريات مباشرة</v>
      </c>
      <c r="G476" s="12">
        <f>[1]code!G473</f>
        <v>9.5047547760406914</v>
      </c>
      <c r="I476" s="10">
        <v>9.5047547760406914</v>
      </c>
      <c r="J476" s="10">
        <v>9.0527804984220275</v>
      </c>
      <c r="K476" s="10">
        <v>9.2317758577300584</v>
      </c>
      <c r="L476" s="10">
        <v>9.3804522246535385</v>
      </c>
      <c r="M476" s="10">
        <f>IFERROR(VLOOKUP($B476,[1]INV!$B$7:$H$2575,7,0),"")</f>
        <v>9.0351889241419094</v>
      </c>
      <c r="N476" s="10"/>
      <c r="O476" s="10"/>
      <c r="P476" s="10"/>
      <c r="Q476" s="10"/>
      <c r="R476" s="10"/>
      <c r="S476" s="10"/>
      <c r="T476" s="10"/>
      <c r="U476" s="1">
        <f t="shared" si="28"/>
        <v>9.5047547760406914</v>
      </c>
      <c r="V476" s="1">
        <f t="shared" si="29"/>
        <v>9.0527804984220275</v>
      </c>
      <c r="W476" s="1">
        <f t="shared" si="30"/>
        <v>9.2317758577300584</v>
      </c>
      <c r="X476" s="1">
        <f t="shared" si="31"/>
        <v>9.3804522246535385</v>
      </c>
    </row>
    <row r="477" spans="2:24" x14ac:dyDescent="0.25">
      <c r="B477" s="11">
        <f>[1]code!B474</f>
        <v>165</v>
      </c>
      <c r="C477" s="2" t="str">
        <f>[1]code!C474</f>
        <v>هانك</v>
      </c>
      <c r="D477" s="2" t="str">
        <f>[1]code!D474</f>
        <v>اللحوم</v>
      </c>
      <c r="E477" s="1" t="str">
        <f>[1]code!E474</f>
        <v>رابطة</v>
      </c>
      <c r="F477" s="2" t="str">
        <f>[1]code!F474</f>
        <v>الجوهرة</v>
      </c>
      <c r="G477" s="12">
        <f>[1]code!G474</f>
        <v>15</v>
      </c>
      <c r="I477" s="10">
        <v>15</v>
      </c>
      <c r="J477" s="10">
        <v>15</v>
      </c>
      <c r="K477" s="10">
        <v>15</v>
      </c>
      <c r="L477" s="10">
        <v>15</v>
      </c>
      <c r="M477" s="10">
        <f>IFERROR(VLOOKUP($B477,[1]INV!$B$7:$H$2575,7,0),"")</f>
        <v>15</v>
      </c>
      <c r="N477" s="10"/>
      <c r="O477" s="10"/>
      <c r="P477" s="10"/>
      <c r="Q477" s="10"/>
      <c r="R477" s="10"/>
      <c r="S477" s="10"/>
      <c r="T477" s="10"/>
      <c r="U477" s="1">
        <f t="shared" si="28"/>
        <v>15</v>
      </c>
      <c r="V477" s="1">
        <f t="shared" si="29"/>
        <v>15</v>
      </c>
      <c r="W477" s="1">
        <f t="shared" si="30"/>
        <v>15</v>
      </c>
      <c r="X477" s="1">
        <f t="shared" si="31"/>
        <v>15</v>
      </c>
    </row>
    <row r="478" spans="2:24" x14ac:dyDescent="0.25">
      <c r="B478" s="11">
        <f>[1]code!B475</f>
        <v>104</v>
      </c>
      <c r="C478" s="2" t="str">
        <f>[1]code!C475</f>
        <v>لية</v>
      </c>
      <c r="D478" s="2" t="str">
        <f>[1]code!D475</f>
        <v>اللحوم المساعدة</v>
      </c>
      <c r="E478" s="1" t="str">
        <f>[1]code!E475</f>
        <v>كيلو</v>
      </c>
      <c r="F478" s="2" t="str">
        <f>[1]code!F475</f>
        <v>اوزيل التركي</v>
      </c>
      <c r="G478" s="12">
        <f>[1]code!G475</f>
        <v>28.974761881738633</v>
      </c>
      <c r="I478" s="10">
        <v>28.974761881738633</v>
      </c>
      <c r="J478" s="10">
        <v>29</v>
      </c>
      <c r="K478" s="10">
        <v>28.999999999999993</v>
      </c>
      <c r="L478" s="10">
        <v>28.387384433807615</v>
      </c>
      <c r="M478" s="10">
        <f>IFERROR(VLOOKUP($B478,[1]INV!$B$7:$H$2575,7,0),"")</f>
        <v>27.999999999999996</v>
      </c>
      <c r="N478" s="10"/>
      <c r="O478" s="10"/>
      <c r="P478" s="10"/>
      <c r="Q478" s="10"/>
      <c r="R478" s="10"/>
      <c r="S478" s="10"/>
      <c r="T478" s="10"/>
      <c r="U478" s="1">
        <f t="shared" si="28"/>
        <v>28.974761881738633</v>
      </c>
      <c r="V478" s="1">
        <f t="shared" si="29"/>
        <v>29</v>
      </c>
      <c r="W478" s="1">
        <f t="shared" si="30"/>
        <v>28.999999999999993</v>
      </c>
      <c r="X478" s="1">
        <f t="shared" si="31"/>
        <v>28.387384433807615</v>
      </c>
    </row>
    <row r="479" spans="2:24" x14ac:dyDescent="0.25">
      <c r="B479" s="11">
        <f>[1]code!B476</f>
        <v>193</v>
      </c>
      <c r="C479" s="2" t="str">
        <f>[1]code!C476</f>
        <v>بهارات كفتة</v>
      </c>
      <c r="D479" s="2" t="str">
        <f>[1]code!D476</f>
        <v>بهارات مصنعة</v>
      </c>
      <c r="E479" s="1" t="str">
        <f>[1]code!E476</f>
        <v>كيلو</v>
      </c>
      <c r="F479" s="2" t="str">
        <f>[1]code!F476</f>
        <v>الجوهرة</v>
      </c>
      <c r="G479" s="12">
        <f>[1]code!G476</f>
        <v>21.74</v>
      </c>
      <c r="I479" s="10">
        <v>21.74</v>
      </c>
      <c r="J479" s="10">
        <v>21.74</v>
      </c>
      <c r="K479" s="10">
        <v>21.74</v>
      </c>
      <c r="L479" s="10">
        <v>21.74</v>
      </c>
      <c r="M479" s="10">
        <f>IFERROR(VLOOKUP($B479,[1]INV!$B$7:$H$2575,7,0),"")</f>
        <v>21.74</v>
      </c>
      <c r="N479" s="10"/>
      <c r="O479" s="10"/>
      <c r="P479" s="10"/>
      <c r="Q479" s="10"/>
      <c r="R479" s="10"/>
      <c r="S479" s="10"/>
      <c r="T479" s="10"/>
      <c r="U479" s="1">
        <f t="shared" si="28"/>
        <v>21.74</v>
      </c>
      <c r="V479" s="1">
        <f t="shared" si="29"/>
        <v>21.74</v>
      </c>
      <c r="W479" s="1">
        <f t="shared" si="30"/>
        <v>21.74</v>
      </c>
      <c r="X479" s="1">
        <f t="shared" si="31"/>
        <v>21.74</v>
      </c>
    </row>
    <row r="480" spans="2:24" x14ac:dyDescent="0.25">
      <c r="B480" s="11">
        <f>[1]code!B477</f>
        <v>194</v>
      </c>
      <c r="C480" s="2" t="str">
        <f>[1]code!C477</f>
        <v>بهارات طرب</v>
      </c>
      <c r="D480" s="2" t="str">
        <f>[1]code!D477</f>
        <v>بهارات مصنعة</v>
      </c>
      <c r="E480" s="1" t="str">
        <f>[1]code!E477</f>
        <v>كيلو</v>
      </c>
      <c r="F480" s="2" t="str">
        <f>[1]code!F477</f>
        <v>الجوهرة</v>
      </c>
      <c r="G480" s="12">
        <f>[1]code!G477</f>
        <v>21.739999999999995</v>
      </c>
      <c r="I480" s="10">
        <v>21.739999999999995</v>
      </c>
      <c r="J480" s="10">
        <v>21.74</v>
      </c>
      <c r="K480" s="10">
        <v>21.74</v>
      </c>
      <c r="L480" s="10">
        <v>21.74</v>
      </c>
      <c r="M480" s="10">
        <f>IFERROR(VLOOKUP($B480,[1]INV!$B$7:$H$2575,7,0),"")</f>
        <v>21.74</v>
      </c>
      <c r="N480" s="10"/>
      <c r="O480" s="10"/>
      <c r="P480" s="10"/>
      <c r="Q480" s="10"/>
      <c r="R480" s="10"/>
      <c r="S480" s="10"/>
      <c r="T480" s="10"/>
      <c r="U480" s="1">
        <f t="shared" si="28"/>
        <v>21.739999999999995</v>
      </c>
      <c r="V480" s="1">
        <f t="shared" si="29"/>
        <v>21.74</v>
      </c>
      <c r="W480" s="1">
        <f t="shared" si="30"/>
        <v>21.74</v>
      </c>
      <c r="X480" s="1">
        <f t="shared" si="31"/>
        <v>21.74</v>
      </c>
    </row>
    <row r="481" spans="2:24" x14ac:dyDescent="0.25">
      <c r="B481" s="11">
        <f>[1]code!B478</f>
        <v>195</v>
      </c>
      <c r="C481" s="2" t="str">
        <f>[1]code!C478</f>
        <v>بهارات حواوشي</v>
      </c>
      <c r="D481" s="2" t="str">
        <f>[1]code!D478</f>
        <v>بهارات مصنعة</v>
      </c>
      <c r="E481" s="1" t="str">
        <f>[1]code!E478</f>
        <v>كيلو</v>
      </c>
      <c r="F481" s="2" t="str">
        <f>[1]code!F478</f>
        <v>الجوهرة</v>
      </c>
      <c r="G481" s="12">
        <f>[1]code!G478</f>
        <v>21.739999999999995</v>
      </c>
      <c r="I481" s="10">
        <v>21.739999999999995</v>
      </c>
      <c r="J481" s="10">
        <v>21.74</v>
      </c>
      <c r="K481" s="10">
        <v>21.74</v>
      </c>
      <c r="L481" s="10">
        <v>21.74</v>
      </c>
      <c r="M481" s="10">
        <f>IFERROR(VLOOKUP($B481,[1]INV!$B$7:$H$2575,7,0),"")</f>
        <v>21.739999999999995</v>
      </c>
      <c r="N481" s="10"/>
      <c r="O481" s="10"/>
      <c r="P481" s="10"/>
      <c r="Q481" s="10"/>
      <c r="R481" s="10"/>
      <c r="S481" s="10"/>
      <c r="T481" s="10"/>
      <c r="U481" s="1">
        <f t="shared" si="28"/>
        <v>21.739999999999995</v>
      </c>
      <c r="V481" s="1">
        <f t="shared" si="29"/>
        <v>21.74</v>
      </c>
      <c r="W481" s="1">
        <f t="shared" si="30"/>
        <v>21.74</v>
      </c>
      <c r="X481" s="1">
        <f t="shared" si="31"/>
        <v>21.74</v>
      </c>
    </row>
    <row r="482" spans="2:24" x14ac:dyDescent="0.25">
      <c r="B482" s="11">
        <f>[1]code!B479</f>
        <v>196</v>
      </c>
      <c r="C482" s="2" t="str">
        <f>[1]code!C479</f>
        <v>بهارات سدق</v>
      </c>
      <c r="D482" s="2" t="str">
        <f>[1]code!D479</f>
        <v>بهارات مصنعة</v>
      </c>
      <c r="E482" s="1" t="str">
        <f>[1]code!E479</f>
        <v>كيلو</v>
      </c>
      <c r="F482" s="2" t="str">
        <f>[1]code!F479</f>
        <v>الجوهرة</v>
      </c>
      <c r="G482" s="12">
        <f>[1]code!G479</f>
        <v>21.74</v>
      </c>
      <c r="I482" s="10">
        <v>21.74</v>
      </c>
      <c r="J482" s="10">
        <v>21.74</v>
      </c>
      <c r="K482" s="10">
        <v>21.74</v>
      </c>
      <c r="L482" s="10">
        <v>21.74</v>
      </c>
      <c r="M482" s="10">
        <f>IFERROR(VLOOKUP($B482,[1]INV!$B$7:$H$2575,7,0),"")</f>
        <v>21.74</v>
      </c>
      <c r="N482" s="10"/>
      <c r="O482" s="10"/>
      <c r="P482" s="10"/>
      <c r="Q482" s="10"/>
      <c r="R482" s="10"/>
      <c r="S482" s="10"/>
      <c r="T482" s="10"/>
      <c r="U482" s="1">
        <f t="shared" si="28"/>
        <v>21.74</v>
      </c>
      <c r="V482" s="1">
        <f t="shared" si="29"/>
        <v>21.74</v>
      </c>
      <c r="W482" s="1">
        <f t="shared" si="30"/>
        <v>21.74</v>
      </c>
      <c r="X482" s="1">
        <f t="shared" si="31"/>
        <v>21.74</v>
      </c>
    </row>
    <row r="483" spans="2:24" x14ac:dyDescent="0.25">
      <c r="B483" s="11">
        <f>[1]code!B480</f>
        <v>197</v>
      </c>
      <c r="C483" s="2" t="str">
        <f>[1]code!C480</f>
        <v>بهارات كبدة</v>
      </c>
      <c r="D483" s="2" t="str">
        <f>[1]code!D480</f>
        <v>بهارات مصنعة</v>
      </c>
      <c r="E483" s="1" t="str">
        <f>[1]code!E480</f>
        <v>كيلو</v>
      </c>
      <c r="F483" s="2" t="str">
        <f>[1]code!F480</f>
        <v>الجوهرة</v>
      </c>
      <c r="G483" s="12">
        <f>[1]code!G480</f>
        <v>21.740000000000002</v>
      </c>
      <c r="I483" s="10">
        <v>21.740000000000002</v>
      </c>
      <c r="J483" s="10">
        <v>21.74</v>
      </c>
      <c r="K483" s="10">
        <v>21.74</v>
      </c>
      <c r="L483" s="10">
        <v>21.74</v>
      </c>
      <c r="M483" s="10">
        <f>IFERROR(VLOOKUP($B483,[1]INV!$B$7:$H$2575,7,0),"")</f>
        <v>21.739999999999995</v>
      </c>
      <c r="N483" s="10"/>
      <c r="O483" s="10"/>
      <c r="P483" s="10"/>
      <c r="Q483" s="10"/>
      <c r="R483" s="10"/>
      <c r="S483" s="10"/>
      <c r="T483" s="10"/>
      <c r="U483" s="1">
        <f t="shared" si="28"/>
        <v>21.740000000000002</v>
      </c>
      <c r="V483" s="1">
        <f t="shared" si="29"/>
        <v>21.74</v>
      </c>
      <c r="W483" s="1">
        <f t="shared" si="30"/>
        <v>21.74</v>
      </c>
      <c r="X483" s="1">
        <f t="shared" si="31"/>
        <v>21.74</v>
      </c>
    </row>
    <row r="484" spans="2:24" x14ac:dyDescent="0.25">
      <c r="B484" s="11">
        <f>[1]code!B481</f>
        <v>514</v>
      </c>
      <c r="C484" s="2" t="str">
        <f>[1]code!C481</f>
        <v>بهارات شاورما</v>
      </c>
      <c r="D484" s="2" t="str">
        <f>[1]code!D481</f>
        <v>بهارات مصنعة</v>
      </c>
      <c r="E484" s="1" t="str">
        <f>[1]code!E481</f>
        <v>كيلو</v>
      </c>
      <c r="F484" s="2" t="str">
        <f>[1]code!F481</f>
        <v>الجوهرة</v>
      </c>
      <c r="G484" s="12">
        <f>[1]code!G481</f>
        <v>34.78</v>
      </c>
      <c r="I484" s="10">
        <v>34.78</v>
      </c>
      <c r="J484" s="10">
        <v>34.78</v>
      </c>
      <c r="K484" s="10">
        <v>34.78</v>
      </c>
      <c r="L484" s="10">
        <v>34.78</v>
      </c>
      <c r="M484" s="10">
        <f>IFERROR(VLOOKUP($B484,[1]INV!$B$7:$H$2575,7,0),"")</f>
        <v>34.78</v>
      </c>
      <c r="N484" s="10"/>
      <c r="O484" s="10"/>
      <c r="P484" s="10"/>
      <c r="Q484" s="10"/>
      <c r="R484" s="10"/>
      <c r="S484" s="10"/>
      <c r="T484" s="10"/>
      <c r="U484" s="1">
        <f t="shared" si="28"/>
        <v>34.78</v>
      </c>
      <c r="V484" s="1">
        <f t="shared" si="29"/>
        <v>34.78</v>
      </c>
      <c r="W484" s="1">
        <f t="shared" si="30"/>
        <v>34.78</v>
      </c>
      <c r="X484" s="1">
        <f t="shared" si="31"/>
        <v>34.78</v>
      </c>
    </row>
    <row r="485" spans="2:24" x14ac:dyDescent="0.25">
      <c r="B485" s="11">
        <f>[1]code!B482</f>
        <v>588</v>
      </c>
      <c r="C485" s="2" t="str">
        <f>[1]code!C482</f>
        <v>بهارات سلطة طماطم</v>
      </c>
      <c r="D485" s="2" t="str">
        <f>[1]code!D482</f>
        <v>بهارات مصنعة</v>
      </c>
      <c r="E485" s="1" t="str">
        <f>[1]code!E482</f>
        <v>كيلو</v>
      </c>
      <c r="F485" s="2" t="str">
        <f>[1]code!F482</f>
        <v>الجوهرة</v>
      </c>
      <c r="G485" s="12">
        <f>[1]code!G482</f>
        <v>21.74</v>
      </c>
      <c r="I485" s="10">
        <v>21.74</v>
      </c>
      <c r="J485" s="10">
        <v>21.74</v>
      </c>
      <c r="K485" s="10">
        <v>21.74</v>
      </c>
      <c r="L485" s="10">
        <v>21.74</v>
      </c>
      <c r="M485" s="10">
        <f>IFERROR(VLOOKUP($B485,[1]INV!$B$7:$H$2575,7,0),"")</f>
        <v>21.74</v>
      </c>
      <c r="N485" s="10"/>
      <c r="O485" s="10"/>
      <c r="P485" s="10"/>
      <c r="Q485" s="10"/>
      <c r="R485" s="10"/>
      <c r="S485" s="10"/>
      <c r="T485" s="10"/>
      <c r="U485" s="1">
        <f t="shared" si="28"/>
        <v>21.74</v>
      </c>
      <c r="V485" s="1">
        <f t="shared" si="29"/>
        <v>21.74</v>
      </c>
      <c r="W485" s="1">
        <f t="shared" si="30"/>
        <v>21.74</v>
      </c>
      <c r="X485" s="1">
        <f t="shared" si="31"/>
        <v>21.74</v>
      </c>
    </row>
    <row r="486" spans="2:24" x14ac:dyDescent="0.25">
      <c r="B486" s="11">
        <f>[1]code!B483</f>
        <v>589</v>
      </c>
      <c r="C486" s="2" t="str">
        <f>[1]code!C483</f>
        <v>بهارات طحينة</v>
      </c>
      <c r="D486" s="2" t="str">
        <f>[1]code!D483</f>
        <v>بهارات مصنعة</v>
      </c>
      <c r="E486" s="1" t="str">
        <f>[1]code!E483</f>
        <v>كيلو</v>
      </c>
      <c r="F486" s="2" t="str">
        <f>[1]code!F483</f>
        <v>الجوهرة</v>
      </c>
      <c r="G486" s="12">
        <f>[1]code!G483</f>
        <v>21.74</v>
      </c>
      <c r="I486" s="10">
        <v>21.74</v>
      </c>
      <c r="J486" s="10">
        <v>21.739999999999995</v>
      </c>
      <c r="K486" s="10">
        <v>21.74</v>
      </c>
      <c r="L486" s="10">
        <v>21.74</v>
      </c>
      <c r="M486" s="10">
        <f>IFERROR(VLOOKUP($B486,[1]INV!$B$7:$H$2575,7,0),"")</f>
        <v>21.740000000000002</v>
      </c>
      <c r="N486" s="10"/>
      <c r="O486" s="10"/>
      <c r="P486" s="10"/>
      <c r="Q486" s="10"/>
      <c r="R486" s="10"/>
      <c r="S486" s="10"/>
      <c r="T486" s="10"/>
      <c r="U486" s="1">
        <f t="shared" si="28"/>
        <v>21.74</v>
      </c>
      <c r="V486" s="1">
        <f t="shared" si="29"/>
        <v>21.739999999999995</v>
      </c>
      <c r="W486" s="1">
        <f t="shared" si="30"/>
        <v>21.74</v>
      </c>
      <c r="X486" s="1">
        <f t="shared" si="31"/>
        <v>21.74</v>
      </c>
    </row>
    <row r="487" spans="2:24" x14ac:dyDescent="0.25">
      <c r="B487" s="11">
        <f>[1]code!B484</f>
        <v>597</v>
      </c>
      <c r="C487" s="2" t="str">
        <f>[1]code!C484</f>
        <v>بهارات وجبات اسطف</v>
      </c>
      <c r="D487" s="2" t="str">
        <f>[1]code!D484</f>
        <v>بهارات مصنعة</v>
      </c>
      <c r="E487" s="1" t="str">
        <f>[1]code!E484</f>
        <v>كيلو</v>
      </c>
      <c r="F487" s="2">
        <f>[1]code!F484</f>
        <v>0</v>
      </c>
      <c r="G487" s="12">
        <f>[1]code!G484</f>
        <v>0</v>
      </c>
      <c r="I487" s="10">
        <v>0</v>
      </c>
      <c r="J487" s="10">
        <v>0</v>
      </c>
      <c r="K487" s="10">
        <v>0</v>
      </c>
      <c r="L487" s="10">
        <v>0</v>
      </c>
      <c r="M487" s="10" t="str">
        <f>IFERROR(VLOOKUP($B487,[1]INV!$B$7:$H$2575,7,0),"")</f>
        <v/>
      </c>
      <c r="N487" s="10"/>
      <c r="O487" s="10"/>
      <c r="P487" s="10"/>
      <c r="Q487" s="10"/>
      <c r="R487" s="10"/>
      <c r="S487" s="10"/>
      <c r="T487" s="10"/>
      <c r="U487" s="1">
        <f t="shared" si="28"/>
        <v>0</v>
      </c>
      <c r="V487" s="1">
        <f t="shared" si="29"/>
        <v>0</v>
      </c>
      <c r="W487" s="1">
        <f t="shared" si="30"/>
        <v>0</v>
      </c>
      <c r="X487" s="1">
        <f t="shared" si="31"/>
        <v>0</v>
      </c>
    </row>
    <row r="488" spans="2:24" x14ac:dyDescent="0.25">
      <c r="B488" s="11">
        <f>[1]code!B485</f>
        <v>822</v>
      </c>
      <c r="C488" s="2" t="str">
        <f>[1]code!C485</f>
        <v>شبت</v>
      </c>
      <c r="D488" s="2" t="str">
        <f>[1]code!D485</f>
        <v>خضار باك ستريت</v>
      </c>
      <c r="E488" s="1" t="str">
        <f>[1]code!E485</f>
        <v>كيلو</v>
      </c>
      <c r="F488" s="2" t="str">
        <f>[1]code!F485</f>
        <v>فروت مكس</v>
      </c>
      <c r="G488" s="12">
        <f>[1]code!G485</f>
        <v>4.5999999999999996</v>
      </c>
      <c r="I488" s="10">
        <v>4.5999999999999996</v>
      </c>
      <c r="J488" s="10">
        <v>4.5999999999999996</v>
      </c>
      <c r="K488" s="10">
        <v>4.5999999999999996</v>
      </c>
      <c r="L488" s="10">
        <v>4.5999999999999996</v>
      </c>
      <c r="M488" s="10">
        <f>IFERROR(VLOOKUP($B488,[1]INV!$B$7:$H$2575,7,0),"")</f>
        <v>4.5999999999999996</v>
      </c>
      <c r="N488" s="10"/>
      <c r="O488" s="10"/>
      <c r="P488" s="10"/>
      <c r="Q488" s="10"/>
      <c r="R488" s="10"/>
      <c r="S488" s="10"/>
      <c r="T488" s="10"/>
      <c r="U488" s="1">
        <f t="shared" si="28"/>
        <v>4.5999999999999996</v>
      </c>
      <c r="V488" s="1">
        <f t="shared" si="29"/>
        <v>4.5999999999999996</v>
      </c>
      <c r="W488" s="1">
        <f t="shared" si="30"/>
        <v>4.5999999999999996</v>
      </c>
      <c r="X488" s="1">
        <f t="shared" si="31"/>
        <v>4.5999999999999996</v>
      </c>
    </row>
    <row r="489" spans="2:24" x14ac:dyDescent="0.25">
      <c r="B489" s="11">
        <f>[1]code!B486</f>
        <v>825</v>
      </c>
      <c r="C489" s="2" t="str">
        <f>[1]code!C486</f>
        <v>كرنب أبيض</v>
      </c>
      <c r="D489" s="2" t="str">
        <f>[1]code!D486</f>
        <v>خضار باك ستريت</v>
      </c>
      <c r="E489" s="1" t="str">
        <f>[1]code!E486</f>
        <v>كيلو</v>
      </c>
      <c r="F489" s="2">
        <f>[1]code!F486</f>
        <v>0</v>
      </c>
      <c r="G489" s="12">
        <f>[1]code!G486</f>
        <v>0</v>
      </c>
      <c r="I489" s="10">
        <v>0</v>
      </c>
      <c r="J489" s="10">
        <v>0</v>
      </c>
      <c r="K489" s="10">
        <v>0</v>
      </c>
      <c r="L489" s="10">
        <v>0</v>
      </c>
      <c r="M489" s="10" t="str">
        <f>IFERROR(VLOOKUP($B489,[1]INV!$B$7:$H$2575,7,0),"")</f>
        <v/>
      </c>
      <c r="N489" s="10"/>
      <c r="O489" s="10"/>
      <c r="P489" s="10"/>
      <c r="Q489" s="10"/>
      <c r="R489" s="10"/>
      <c r="S489" s="10"/>
      <c r="T489" s="10"/>
      <c r="U489" s="1">
        <f t="shared" si="28"/>
        <v>0</v>
      </c>
      <c r="V489" s="1">
        <f t="shared" si="29"/>
        <v>0</v>
      </c>
      <c r="W489" s="1">
        <f t="shared" si="30"/>
        <v>0</v>
      </c>
      <c r="X489" s="1">
        <f t="shared" si="31"/>
        <v>0</v>
      </c>
    </row>
    <row r="490" spans="2:24" x14ac:dyDescent="0.25">
      <c r="B490" s="11">
        <f>[1]code!B487</f>
        <v>829</v>
      </c>
      <c r="C490" s="2" t="str">
        <f>[1]code!C487</f>
        <v>زنجبيل فريش</v>
      </c>
      <c r="D490" s="2" t="str">
        <f>[1]code!D487</f>
        <v>خضار باك ستريت</v>
      </c>
      <c r="E490" s="1" t="str">
        <f>[1]code!E487</f>
        <v>كيلو</v>
      </c>
      <c r="F490" s="2">
        <f>[1]code!F487</f>
        <v>0</v>
      </c>
      <c r="G490" s="12">
        <f>[1]code!G487</f>
        <v>0</v>
      </c>
      <c r="I490" s="10">
        <v>0</v>
      </c>
      <c r="J490" s="10">
        <v>0</v>
      </c>
      <c r="K490" s="10">
        <v>0</v>
      </c>
      <c r="L490" s="10">
        <v>0</v>
      </c>
      <c r="M490" s="10" t="str">
        <f>IFERROR(VLOOKUP($B490,[1]INV!$B$7:$H$2575,7,0),"")</f>
        <v/>
      </c>
      <c r="N490" s="10"/>
      <c r="O490" s="10"/>
      <c r="P490" s="10"/>
      <c r="Q490" s="10"/>
      <c r="R490" s="10"/>
      <c r="S490" s="10"/>
      <c r="T490" s="10"/>
      <c r="U490" s="1">
        <f t="shared" si="28"/>
        <v>0</v>
      </c>
      <c r="V490" s="1">
        <f t="shared" si="29"/>
        <v>0</v>
      </c>
      <c r="W490" s="1">
        <f t="shared" si="30"/>
        <v>0</v>
      </c>
      <c r="X490" s="1">
        <f t="shared" si="31"/>
        <v>0</v>
      </c>
    </row>
    <row r="491" spans="2:24" x14ac:dyDescent="0.25">
      <c r="B491" s="11">
        <f>[1]code!B488</f>
        <v>830</v>
      </c>
      <c r="C491" s="2" t="str">
        <f>[1]code!C488</f>
        <v>ماشروم فريش</v>
      </c>
      <c r="D491" s="2" t="str">
        <f>[1]code!D488</f>
        <v>خضار باك ستريت</v>
      </c>
      <c r="E491" s="1" t="str">
        <f>[1]code!E488</f>
        <v>كيلو</v>
      </c>
      <c r="F491" s="2">
        <f>[1]code!F488</f>
        <v>0</v>
      </c>
      <c r="G491" s="12">
        <f>[1]code!G488</f>
        <v>26.45</v>
      </c>
      <c r="I491" s="10">
        <v>26.45</v>
      </c>
      <c r="J491" s="10">
        <v>26.45</v>
      </c>
      <c r="K491" s="10">
        <v>26.45</v>
      </c>
      <c r="L491" s="10">
        <v>26.45</v>
      </c>
      <c r="M491" s="10">
        <f>IFERROR(VLOOKUP($B491,[1]INV!$B$7:$H$2575,7,0),"")</f>
        <v>26.45</v>
      </c>
      <c r="N491" s="10"/>
      <c r="O491" s="10"/>
      <c r="P491" s="10"/>
      <c r="Q491" s="10"/>
      <c r="R491" s="10"/>
      <c r="S491" s="10"/>
      <c r="T491" s="10"/>
      <c r="U491" s="1">
        <f t="shared" si="28"/>
        <v>26.45</v>
      </c>
      <c r="V491" s="1">
        <f t="shared" si="29"/>
        <v>26.45</v>
      </c>
      <c r="W491" s="1">
        <f t="shared" si="30"/>
        <v>26.45</v>
      </c>
      <c r="X491" s="1">
        <f t="shared" si="31"/>
        <v>26.45</v>
      </c>
    </row>
    <row r="492" spans="2:24" x14ac:dyDescent="0.25">
      <c r="B492" s="11">
        <f>[1]code!B489</f>
        <v>831</v>
      </c>
      <c r="C492" s="2" t="str">
        <f>[1]code!C489</f>
        <v>خس أمريكي</v>
      </c>
      <c r="D492" s="2" t="str">
        <f>[1]code!D489</f>
        <v>خضار باك ستريت</v>
      </c>
      <c r="E492" s="1" t="str">
        <f>[1]code!E489</f>
        <v>كيلو</v>
      </c>
      <c r="F492" s="2">
        <f>[1]code!F489</f>
        <v>0</v>
      </c>
      <c r="G492" s="12">
        <f>[1]code!G489</f>
        <v>0</v>
      </c>
      <c r="I492" s="10">
        <v>0</v>
      </c>
      <c r="J492" s="10">
        <v>0</v>
      </c>
      <c r="K492" s="10">
        <v>0</v>
      </c>
      <c r="L492" s="10">
        <v>0</v>
      </c>
      <c r="M492" s="10" t="str">
        <f>IFERROR(VLOOKUP($B492,[1]INV!$B$7:$H$2575,7,0),"")</f>
        <v/>
      </c>
      <c r="N492" s="10"/>
      <c r="O492" s="10"/>
      <c r="P492" s="10"/>
      <c r="Q492" s="10"/>
      <c r="R492" s="10"/>
      <c r="S492" s="10"/>
      <c r="T492" s="10"/>
      <c r="U492" s="1">
        <f t="shared" si="28"/>
        <v>0</v>
      </c>
      <c r="V492" s="1">
        <f t="shared" si="29"/>
        <v>0</v>
      </c>
      <c r="W492" s="1">
        <f t="shared" si="30"/>
        <v>0</v>
      </c>
      <c r="X492" s="1">
        <f t="shared" si="31"/>
        <v>0</v>
      </c>
    </row>
    <row r="493" spans="2:24" x14ac:dyDescent="0.25">
      <c r="B493" s="11">
        <f>[1]code!B490</f>
        <v>833</v>
      </c>
      <c r="C493" s="2" t="str">
        <f>[1]code!C490</f>
        <v>فلفل أحمر شطة</v>
      </c>
      <c r="D493" s="2" t="str">
        <f>[1]code!D490</f>
        <v>خضار باك ستريت</v>
      </c>
      <c r="E493" s="1" t="str">
        <f>[1]code!E490</f>
        <v>كيلو</v>
      </c>
      <c r="F493" s="2" t="str">
        <f>[1]code!F490</f>
        <v>فروت مكس</v>
      </c>
      <c r="G493" s="12">
        <f>[1]code!G490</f>
        <v>8.0500000000000007</v>
      </c>
      <c r="I493" s="10">
        <v>8.0500000000000007</v>
      </c>
      <c r="J493" s="10">
        <v>8.0499999999999989</v>
      </c>
      <c r="K493" s="10">
        <v>8.0500000000000007</v>
      </c>
      <c r="L493" s="10">
        <v>8.0500000000000007</v>
      </c>
      <c r="M493" s="10">
        <f>IFERROR(VLOOKUP($B493,[1]INV!$B$7:$H$2575,7,0),"")</f>
        <v>8.0500000000000007</v>
      </c>
      <c r="N493" s="10"/>
      <c r="O493" s="10"/>
      <c r="P493" s="10"/>
      <c r="Q493" s="10"/>
      <c r="R493" s="10"/>
      <c r="S493" s="10"/>
      <c r="T493" s="10"/>
      <c r="U493" s="1">
        <f t="shared" si="28"/>
        <v>8.0500000000000007</v>
      </c>
      <c r="V493" s="1">
        <f t="shared" si="29"/>
        <v>8.0499999999999989</v>
      </c>
      <c r="W493" s="1">
        <f t="shared" si="30"/>
        <v>8.0500000000000007</v>
      </c>
      <c r="X493" s="1">
        <f t="shared" si="31"/>
        <v>8.0500000000000007</v>
      </c>
    </row>
    <row r="494" spans="2:24" x14ac:dyDescent="0.25">
      <c r="B494" s="11">
        <f>[1]code!B491</f>
        <v>832</v>
      </c>
      <c r="C494" s="2" t="str">
        <f>[1]code!C491</f>
        <v>فلفل رومي أصفر</v>
      </c>
      <c r="D494" s="2" t="str">
        <f>[1]code!D491</f>
        <v>خضار باك ستريت</v>
      </c>
      <c r="E494" s="1" t="str">
        <f>[1]code!E491</f>
        <v>كيلو</v>
      </c>
      <c r="F494" s="2">
        <f>[1]code!F491</f>
        <v>0</v>
      </c>
      <c r="G494" s="12">
        <f>[1]code!G491</f>
        <v>0</v>
      </c>
      <c r="I494" s="10">
        <v>0</v>
      </c>
      <c r="J494" s="10">
        <v>0</v>
      </c>
      <c r="K494" s="10">
        <v>0</v>
      </c>
      <c r="L494" s="10">
        <v>0</v>
      </c>
      <c r="M494" s="10" t="str">
        <f>IFERROR(VLOOKUP($B494,[1]INV!$B$7:$H$2575,7,0),"")</f>
        <v/>
      </c>
      <c r="N494" s="10"/>
      <c r="O494" s="10"/>
      <c r="P494" s="10"/>
      <c r="Q494" s="10"/>
      <c r="R494" s="10"/>
      <c r="S494" s="10"/>
      <c r="T494" s="10"/>
      <c r="U494" s="1">
        <f t="shared" si="28"/>
        <v>0</v>
      </c>
      <c r="V494" s="1">
        <f t="shared" si="29"/>
        <v>0</v>
      </c>
      <c r="W494" s="1">
        <f t="shared" si="30"/>
        <v>0</v>
      </c>
      <c r="X494" s="1">
        <f t="shared" si="31"/>
        <v>0</v>
      </c>
    </row>
    <row r="495" spans="2:24" x14ac:dyDescent="0.25">
      <c r="B495" s="11">
        <f>[1]code!B492</f>
        <v>834</v>
      </c>
      <c r="C495" s="2" t="str">
        <f>[1]code!C492</f>
        <v>فلفل رومي أحمر</v>
      </c>
      <c r="D495" s="2" t="str">
        <f>[1]code!D492</f>
        <v>خضار باك ستريت</v>
      </c>
      <c r="E495" s="1" t="str">
        <f>[1]code!E492</f>
        <v>كيلو</v>
      </c>
      <c r="F495" s="2">
        <f>[1]code!F492</f>
        <v>0</v>
      </c>
      <c r="G495" s="12">
        <f>[1]code!G492</f>
        <v>0</v>
      </c>
      <c r="I495" s="10">
        <v>0</v>
      </c>
      <c r="J495" s="10">
        <v>0</v>
      </c>
      <c r="K495" s="10">
        <v>0</v>
      </c>
      <c r="L495" s="10">
        <v>0</v>
      </c>
      <c r="M495" s="10" t="str">
        <f>IFERROR(VLOOKUP($B495,[1]INV!$B$7:$H$2575,7,0),"")</f>
        <v/>
      </c>
      <c r="N495" s="10"/>
      <c r="O495" s="10"/>
      <c r="P495" s="10"/>
      <c r="Q495" s="10"/>
      <c r="R495" s="10"/>
      <c r="S495" s="10"/>
      <c r="T495" s="10"/>
      <c r="U495" s="1">
        <f t="shared" si="28"/>
        <v>0</v>
      </c>
      <c r="V495" s="1">
        <f t="shared" si="29"/>
        <v>0</v>
      </c>
      <c r="W495" s="1">
        <f t="shared" si="30"/>
        <v>0</v>
      </c>
      <c r="X495" s="1">
        <f t="shared" si="31"/>
        <v>0</v>
      </c>
    </row>
    <row r="496" spans="2:24" x14ac:dyDescent="0.25">
      <c r="B496" s="11">
        <f>[1]code!B493</f>
        <v>838</v>
      </c>
      <c r="C496" s="2" t="str">
        <f>[1]code!C493</f>
        <v>اروقولا</v>
      </c>
      <c r="D496" s="2" t="str">
        <f>[1]code!D493</f>
        <v>خضار باك ستريت</v>
      </c>
      <c r="E496" s="1" t="str">
        <f>[1]code!E493</f>
        <v>كيلو</v>
      </c>
      <c r="F496" s="2">
        <f>[1]code!F493</f>
        <v>0</v>
      </c>
      <c r="G496" s="12">
        <f>[1]code!G493</f>
        <v>0</v>
      </c>
      <c r="I496" s="10">
        <v>0</v>
      </c>
      <c r="J496" s="10">
        <v>0</v>
      </c>
      <c r="K496" s="10">
        <v>0</v>
      </c>
      <c r="L496" s="10">
        <v>0</v>
      </c>
      <c r="M496" s="10" t="str">
        <f>IFERROR(VLOOKUP($B496,[1]INV!$B$7:$H$2575,7,0),"")</f>
        <v/>
      </c>
      <c r="N496" s="10"/>
      <c r="O496" s="10"/>
      <c r="P496" s="10"/>
      <c r="Q496" s="10"/>
      <c r="R496" s="10"/>
      <c r="S496" s="10"/>
      <c r="T496" s="10"/>
      <c r="U496" s="1">
        <f t="shared" si="28"/>
        <v>0</v>
      </c>
      <c r="V496" s="1">
        <f t="shared" si="29"/>
        <v>0</v>
      </c>
      <c r="W496" s="1">
        <f t="shared" si="30"/>
        <v>0</v>
      </c>
      <c r="X496" s="1">
        <f t="shared" si="31"/>
        <v>0</v>
      </c>
    </row>
    <row r="497" spans="2:24" x14ac:dyDescent="0.25">
      <c r="B497" s="11">
        <f>[1]code!B494</f>
        <v>839</v>
      </c>
      <c r="C497" s="2" t="str">
        <f>[1]code!C494</f>
        <v>خس كيل</v>
      </c>
      <c r="D497" s="2" t="str">
        <f>[1]code!D494</f>
        <v>خضار باك ستريت</v>
      </c>
      <c r="E497" s="1" t="str">
        <f>[1]code!E494</f>
        <v>كيلو</v>
      </c>
      <c r="F497" s="2">
        <f>[1]code!F494</f>
        <v>0</v>
      </c>
      <c r="G497" s="12">
        <f>[1]code!G494</f>
        <v>0</v>
      </c>
      <c r="I497" s="10">
        <v>0</v>
      </c>
      <c r="J497" s="10">
        <v>0</v>
      </c>
      <c r="K497" s="10">
        <v>0</v>
      </c>
      <c r="L497" s="10">
        <v>0</v>
      </c>
      <c r="M497" s="10" t="str">
        <f>IFERROR(VLOOKUP($B497,[1]INV!$B$7:$H$2575,7,0),"")</f>
        <v/>
      </c>
      <c r="N497" s="10"/>
      <c r="O497" s="10"/>
      <c r="P497" s="10"/>
      <c r="Q497" s="10"/>
      <c r="R497" s="10"/>
      <c r="S497" s="10"/>
      <c r="T497" s="10"/>
      <c r="U497" s="1">
        <f t="shared" si="28"/>
        <v>0</v>
      </c>
      <c r="V497" s="1">
        <f t="shared" si="29"/>
        <v>0</v>
      </c>
      <c r="W497" s="1">
        <f t="shared" si="30"/>
        <v>0</v>
      </c>
      <c r="X497" s="1">
        <f t="shared" si="31"/>
        <v>0</v>
      </c>
    </row>
    <row r="498" spans="2:24" x14ac:dyDescent="0.25">
      <c r="B498" s="11">
        <f>[1]code!B495</f>
        <v>840</v>
      </c>
      <c r="C498" s="2" t="str">
        <f>[1]code!C495</f>
        <v>فجل أحمر</v>
      </c>
      <c r="D498" s="2" t="str">
        <f>[1]code!D495</f>
        <v>خضار باك ستريت</v>
      </c>
      <c r="E498" s="1" t="str">
        <f>[1]code!E495</f>
        <v>كيلو</v>
      </c>
      <c r="F498" s="2">
        <f>[1]code!F495</f>
        <v>0</v>
      </c>
      <c r="G498" s="12">
        <f>[1]code!G495</f>
        <v>0</v>
      </c>
      <c r="I498" s="10">
        <v>0</v>
      </c>
      <c r="J498" s="10">
        <v>0</v>
      </c>
      <c r="K498" s="10">
        <v>0</v>
      </c>
      <c r="L498" s="10">
        <v>0</v>
      </c>
      <c r="M498" s="10" t="str">
        <f>IFERROR(VLOOKUP($B498,[1]INV!$B$7:$H$2575,7,0),"")</f>
        <v/>
      </c>
      <c r="N498" s="10"/>
      <c r="O498" s="10"/>
      <c r="P498" s="10"/>
      <c r="Q498" s="10"/>
      <c r="R498" s="10"/>
      <c r="S498" s="10"/>
      <c r="T498" s="10"/>
      <c r="U498" s="1">
        <f t="shared" si="28"/>
        <v>0</v>
      </c>
      <c r="V498" s="1">
        <f t="shared" si="29"/>
        <v>0</v>
      </c>
      <c r="W498" s="1">
        <f t="shared" si="30"/>
        <v>0</v>
      </c>
      <c r="X498" s="1">
        <f t="shared" si="31"/>
        <v>0</v>
      </c>
    </row>
    <row r="499" spans="2:24" x14ac:dyDescent="0.25">
      <c r="B499" s="11">
        <f>[1]code!B496</f>
        <v>835</v>
      </c>
      <c r="C499" s="2" t="str">
        <f>[1]code!C496</f>
        <v>بصل أخضر</v>
      </c>
      <c r="D499" s="2" t="str">
        <f>[1]code!D496</f>
        <v>خضار باك ستريت</v>
      </c>
      <c r="E499" s="1" t="str">
        <f>[1]code!E496</f>
        <v>كيلو</v>
      </c>
      <c r="F499" s="2">
        <f>[1]code!F496</f>
        <v>0</v>
      </c>
      <c r="G499" s="12">
        <f>[1]code!G496</f>
        <v>0</v>
      </c>
      <c r="I499" s="10">
        <v>0</v>
      </c>
      <c r="J499" s="10">
        <v>0</v>
      </c>
      <c r="K499" s="10">
        <v>0</v>
      </c>
      <c r="L499" s="10">
        <v>0</v>
      </c>
      <c r="M499" s="10" t="str">
        <f>IFERROR(VLOOKUP($B499,[1]INV!$B$7:$H$2575,7,0),"")</f>
        <v/>
      </c>
      <c r="N499" s="10"/>
      <c r="O499" s="10"/>
      <c r="P499" s="10"/>
      <c r="Q499" s="10"/>
      <c r="R499" s="10"/>
      <c r="S499" s="10"/>
      <c r="T499" s="10"/>
      <c r="U499" s="1">
        <f t="shared" si="28"/>
        <v>0</v>
      </c>
      <c r="V499" s="1">
        <f t="shared" si="29"/>
        <v>0</v>
      </c>
      <c r="W499" s="1">
        <f t="shared" si="30"/>
        <v>0</v>
      </c>
      <c r="X499" s="1">
        <f t="shared" si="31"/>
        <v>0</v>
      </c>
    </row>
    <row r="500" spans="2:24" x14ac:dyDescent="0.25">
      <c r="B500" s="11">
        <f>[1]code!B497</f>
        <v>841</v>
      </c>
      <c r="C500" s="2" t="str">
        <f>[1]code!C497</f>
        <v>خس أحمر</v>
      </c>
      <c r="D500" s="2" t="str">
        <f>[1]code!D497</f>
        <v>خضار باك ستريت</v>
      </c>
      <c r="E500" s="1" t="str">
        <f>[1]code!E497</f>
        <v>كيلو</v>
      </c>
      <c r="F500" s="2">
        <f>[1]code!F497</f>
        <v>0</v>
      </c>
      <c r="G500" s="12">
        <f>[1]code!G497</f>
        <v>0</v>
      </c>
      <c r="I500" s="10">
        <v>0</v>
      </c>
      <c r="J500" s="10">
        <v>0</v>
      </c>
      <c r="K500" s="10">
        <v>0</v>
      </c>
      <c r="L500" s="10">
        <v>0</v>
      </c>
      <c r="M500" s="10" t="str">
        <f>IFERROR(VLOOKUP($B500,[1]INV!$B$7:$H$2575,7,0),"")</f>
        <v/>
      </c>
      <c r="N500" s="10"/>
      <c r="O500" s="10"/>
      <c r="P500" s="10"/>
      <c r="Q500" s="10"/>
      <c r="R500" s="10"/>
      <c r="S500" s="10"/>
      <c r="T500" s="10"/>
      <c r="U500" s="1">
        <f t="shared" si="28"/>
        <v>0</v>
      </c>
      <c r="V500" s="1">
        <f t="shared" si="29"/>
        <v>0</v>
      </c>
      <c r="W500" s="1">
        <f t="shared" si="30"/>
        <v>0</v>
      </c>
      <c r="X500" s="1">
        <f t="shared" si="31"/>
        <v>0</v>
      </c>
    </row>
    <row r="501" spans="2:24" x14ac:dyDescent="0.25">
      <c r="B501" s="11">
        <f>[1]code!B498</f>
        <v>842</v>
      </c>
      <c r="C501" s="2" t="str">
        <f>[1]code!C498</f>
        <v>زعتر فريش</v>
      </c>
      <c r="D501" s="2" t="str">
        <f>[1]code!D498</f>
        <v>خضار باك ستريت</v>
      </c>
      <c r="E501" s="1" t="str">
        <f>[1]code!E498</f>
        <v>كيلو</v>
      </c>
      <c r="F501" s="2">
        <f>[1]code!F498</f>
        <v>0</v>
      </c>
      <c r="G501" s="12">
        <f>[1]code!G498</f>
        <v>0</v>
      </c>
      <c r="I501" s="10">
        <v>0</v>
      </c>
      <c r="J501" s="10">
        <v>0</v>
      </c>
      <c r="K501" s="10">
        <v>0</v>
      </c>
      <c r="L501" s="10">
        <v>0</v>
      </c>
      <c r="M501" s="10" t="str">
        <f>IFERROR(VLOOKUP($B501,[1]INV!$B$7:$H$2575,7,0),"")</f>
        <v/>
      </c>
      <c r="N501" s="10"/>
      <c r="O501" s="10"/>
      <c r="P501" s="10"/>
      <c r="Q501" s="10"/>
      <c r="R501" s="10"/>
      <c r="S501" s="10"/>
      <c r="T501" s="10"/>
      <c r="U501" s="1">
        <f t="shared" si="28"/>
        <v>0</v>
      </c>
      <c r="V501" s="1">
        <f t="shared" si="29"/>
        <v>0</v>
      </c>
      <c r="W501" s="1">
        <f t="shared" si="30"/>
        <v>0</v>
      </c>
      <c r="X501" s="1">
        <f t="shared" si="31"/>
        <v>0</v>
      </c>
    </row>
    <row r="502" spans="2:24" x14ac:dyDescent="0.25">
      <c r="B502" s="11">
        <f>[1]code!B499</f>
        <v>824</v>
      </c>
      <c r="C502" s="2" t="str">
        <f>[1]code!C499</f>
        <v>فاصوليا استرالي</v>
      </c>
      <c r="D502" s="2" t="str">
        <f>[1]code!D499</f>
        <v>خضار باك ستريت</v>
      </c>
      <c r="E502" s="1" t="str">
        <f>[1]code!E499</f>
        <v>كيلو</v>
      </c>
      <c r="F502" s="2">
        <f>[1]code!F499</f>
        <v>0</v>
      </c>
      <c r="G502" s="12">
        <f>[1]code!G499</f>
        <v>0</v>
      </c>
      <c r="I502" s="10">
        <v>0</v>
      </c>
      <c r="J502" s="10">
        <v>0</v>
      </c>
      <c r="K502" s="10">
        <v>0</v>
      </c>
      <c r="L502" s="10">
        <v>0</v>
      </c>
      <c r="M502" s="10" t="str">
        <f>IFERROR(VLOOKUP($B502,[1]INV!$B$7:$H$2575,7,0),"")</f>
        <v/>
      </c>
      <c r="N502" s="10"/>
      <c r="O502" s="10"/>
      <c r="P502" s="10"/>
      <c r="Q502" s="10"/>
      <c r="R502" s="10"/>
      <c r="S502" s="10"/>
      <c r="T502" s="10"/>
      <c r="U502" s="1">
        <f t="shared" si="28"/>
        <v>0</v>
      </c>
      <c r="V502" s="1">
        <f t="shared" si="29"/>
        <v>0</v>
      </c>
      <c r="W502" s="1">
        <f t="shared" si="30"/>
        <v>0</v>
      </c>
      <c r="X502" s="1">
        <f t="shared" si="31"/>
        <v>0</v>
      </c>
    </row>
    <row r="503" spans="2:24" x14ac:dyDescent="0.25">
      <c r="B503" s="11">
        <f>[1]code!B500</f>
        <v>843</v>
      </c>
      <c r="C503" s="2" t="str">
        <f>[1]code!C500</f>
        <v>ورق مشكل</v>
      </c>
      <c r="D503" s="2" t="str">
        <f>[1]code!D500</f>
        <v>خضار باك ستريت</v>
      </c>
      <c r="E503" s="1" t="str">
        <f>[1]code!E500</f>
        <v>كيلو</v>
      </c>
      <c r="F503" s="2">
        <f>[1]code!F500</f>
        <v>0</v>
      </c>
      <c r="G503" s="12">
        <f>[1]code!G500</f>
        <v>0</v>
      </c>
      <c r="I503" s="10">
        <v>0</v>
      </c>
      <c r="J503" s="10">
        <v>0</v>
      </c>
      <c r="K503" s="10">
        <v>0</v>
      </c>
      <c r="L503" s="10">
        <v>0</v>
      </c>
      <c r="M503" s="10" t="str">
        <f>IFERROR(VLOOKUP($B503,[1]INV!$B$7:$H$2575,7,0),"")</f>
        <v/>
      </c>
      <c r="N503" s="10"/>
      <c r="O503" s="10"/>
      <c r="P503" s="10"/>
      <c r="Q503" s="10"/>
      <c r="R503" s="10"/>
      <c r="S503" s="10"/>
      <c r="T503" s="10"/>
      <c r="U503" s="1">
        <f t="shared" si="28"/>
        <v>0</v>
      </c>
      <c r="V503" s="1">
        <f t="shared" si="29"/>
        <v>0</v>
      </c>
      <c r="W503" s="1">
        <f t="shared" si="30"/>
        <v>0</v>
      </c>
      <c r="X503" s="1">
        <f t="shared" si="31"/>
        <v>0</v>
      </c>
    </row>
    <row r="504" spans="2:24" x14ac:dyDescent="0.25">
      <c r="B504" s="11">
        <f>[1]code!B501</f>
        <v>823</v>
      </c>
      <c r="C504" s="2" t="str">
        <f>[1]code!C501</f>
        <v>كرافس</v>
      </c>
      <c r="D504" s="2" t="str">
        <f>[1]code!D501</f>
        <v>خضار باك ستريت</v>
      </c>
      <c r="E504" s="1" t="str">
        <f>[1]code!E501</f>
        <v>كيلو</v>
      </c>
      <c r="F504" s="2">
        <f>[1]code!F501</f>
        <v>0</v>
      </c>
      <c r="G504" s="12">
        <f>[1]code!G501</f>
        <v>0</v>
      </c>
      <c r="I504" s="10">
        <v>0</v>
      </c>
      <c r="J504" s="10">
        <v>0</v>
      </c>
      <c r="K504" s="10">
        <v>0</v>
      </c>
      <c r="L504" s="10">
        <v>0</v>
      </c>
      <c r="M504" s="10" t="str">
        <f>IFERROR(VLOOKUP($B504,[1]INV!$B$7:$H$2575,7,0),"")</f>
        <v/>
      </c>
      <c r="N504" s="10"/>
      <c r="O504" s="10"/>
      <c r="P504" s="10"/>
      <c r="Q504" s="10"/>
      <c r="R504" s="10"/>
      <c r="S504" s="10"/>
      <c r="T504" s="10"/>
      <c r="U504" s="1">
        <f t="shared" si="28"/>
        <v>0</v>
      </c>
      <c r="V504" s="1">
        <f t="shared" si="29"/>
        <v>0</v>
      </c>
      <c r="W504" s="1">
        <f t="shared" si="30"/>
        <v>0</v>
      </c>
      <c r="X504" s="1">
        <f t="shared" si="31"/>
        <v>0</v>
      </c>
    </row>
    <row r="505" spans="2:24" x14ac:dyDescent="0.25">
      <c r="B505" s="11">
        <f>[1]code!B502</f>
        <v>826</v>
      </c>
      <c r="C505" s="2" t="str">
        <f>[1]code!C502</f>
        <v>كرنب احمر</v>
      </c>
      <c r="D505" s="2" t="str">
        <f>[1]code!D502</f>
        <v>خضار باك ستريت</v>
      </c>
      <c r="E505" s="1" t="str">
        <f>[1]code!E502</f>
        <v>كيلو</v>
      </c>
      <c r="F505" s="2">
        <f>[1]code!F502</f>
        <v>0</v>
      </c>
      <c r="G505" s="12">
        <f>[1]code!G502</f>
        <v>0</v>
      </c>
      <c r="I505" s="10">
        <v>0</v>
      </c>
      <c r="J505" s="10">
        <v>0</v>
      </c>
      <c r="K505" s="10">
        <v>0</v>
      </c>
      <c r="L505" s="10">
        <v>0</v>
      </c>
      <c r="M505" s="10" t="str">
        <f>IFERROR(VLOOKUP($B505,[1]INV!$B$7:$H$2575,7,0),"")</f>
        <v/>
      </c>
      <c r="N505" s="10"/>
      <c r="O505" s="10"/>
      <c r="P505" s="10"/>
      <c r="Q505" s="10"/>
      <c r="R505" s="10"/>
      <c r="S505" s="10"/>
      <c r="T505" s="10"/>
      <c r="U505" s="1">
        <f t="shared" si="28"/>
        <v>0</v>
      </c>
      <c r="V505" s="1">
        <f t="shared" si="29"/>
        <v>0</v>
      </c>
      <c r="W505" s="1">
        <f t="shared" si="30"/>
        <v>0</v>
      </c>
      <c r="X505" s="1">
        <f t="shared" si="31"/>
        <v>0</v>
      </c>
    </row>
    <row r="506" spans="2:24" x14ac:dyDescent="0.25">
      <c r="B506" s="11">
        <f>[1]code!B503</f>
        <v>844</v>
      </c>
      <c r="C506" s="2" t="str">
        <f>[1]code!C503</f>
        <v>روزماري</v>
      </c>
      <c r="D506" s="2" t="str">
        <f>[1]code!D503</f>
        <v>خضار باك ستريت</v>
      </c>
      <c r="E506" s="1" t="str">
        <f>[1]code!E503</f>
        <v>كيلو</v>
      </c>
      <c r="F506" s="2">
        <f>[1]code!F503</f>
        <v>0</v>
      </c>
      <c r="G506" s="12">
        <f>[1]code!G503</f>
        <v>0</v>
      </c>
      <c r="I506" s="10">
        <v>0</v>
      </c>
      <c r="J506" s="10">
        <v>0</v>
      </c>
      <c r="K506" s="10">
        <v>0</v>
      </c>
      <c r="L506" s="10">
        <v>0</v>
      </c>
      <c r="M506" s="10" t="str">
        <f>IFERROR(VLOOKUP($B506,[1]INV!$B$7:$H$2575,7,0),"")</f>
        <v/>
      </c>
      <c r="N506" s="10"/>
      <c r="O506" s="10"/>
      <c r="P506" s="10"/>
      <c r="Q506" s="10"/>
      <c r="R506" s="10"/>
      <c r="S506" s="10"/>
      <c r="T506" s="10"/>
      <c r="U506" s="1">
        <f t="shared" si="28"/>
        <v>0</v>
      </c>
      <c r="V506" s="1">
        <f t="shared" si="29"/>
        <v>0</v>
      </c>
      <c r="W506" s="1">
        <f t="shared" si="30"/>
        <v>0</v>
      </c>
      <c r="X506" s="1">
        <f t="shared" si="31"/>
        <v>0</v>
      </c>
    </row>
    <row r="507" spans="2:24" x14ac:dyDescent="0.25">
      <c r="B507" s="11">
        <f>[1]code!B504</f>
        <v>849</v>
      </c>
      <c r="C507" s="2" t="str">
        <f>[1]code!C504</f>
        <v>بطاطس حلوه</v>
      </c>
      <c r="D507" s="2" t="str">
        <f>[1]code!D504</f>
        <v>خضار باك ستريت</v>
      </c>
      <c r="E507" s="1" t="str">
        <f>[1]code!E504</f>
        <v>كيلو</v>
      </c>
      <c r="F507" s="2">
        <f>[1]code!F504</f>
        <v>0</v>
      </c>
      <c r="G507" s="12">
        <f>[1]code!G504</f>
        <v>0</v>
      </c>
      <c r="I507" s="10">
        <v>0</v>
      </c>
      <c r="J507" s="10">
        <v>0</v>
      </c>
      <c r="K507" s="10">
        <v>0</v>
      </c>
      <c r="L507" s="10">
        <v>0</v>
      </c>
      <c r="M507" s="10" t="str">
        <f>IFERROR(VLOOKUP($B507,[1]INV!$B$7:$H$2575,7,0),"")</f>
        <v/>
      </c>
      <c r="N507" s="10"/>
      <c r="O507" s="10"/>
      <c r="P507" s="10"/>
      <c r="Q507" s="10"/>
      <c r="R507" s="10"/>
      <c r="S507" s="10"/>
      <c r="T507" s="10"/>
      <c r="U507" s="1">
        <f t="shared" si="28"/>
        <v>0</v>
      </c>
      <c r="V507" s="1">
        <f t="shared" si="29"/>
        <v>0</v>
      </c>
      <c r="W507" s="1">
        <f t="shared" si="30"/>
        <v>0</v>
      </c>
      <c r="X507" s="1">
        <f t="shared" si="31"/>
        <v>0</v>
      </c>
    </row>
    <row r="508" spans="2:24" x14ac:dyDescent="0.25">
      <c r="B508" s="11">
        <f>[1]code!B505</f>
        <v>653</v>
      </c>
      <c r="C508" s="2" t="str">
        <f>[1]code!C505</f>
        <v>افوكاتو - باك ستريت</v>
      </c>
      <c r="D508" s="2" t="str">
        <f>[1]code!D505</f>
        <v>خضار باك ستريت</v>
      </c>
      <c r="E508" s="1" t="str">
        <f>[1]code!E505</f>
        <v>كيلو</v>
      </c>
      <c r="F508" s="2">
        <f>[1]code!F505</f>
        <v>0</v>
      </c>
      <c r="G508" s="12">
        <f>[1]code!G505</f>
        <v>18</v>
      </c>
      <c r="I508" s="10">
        <v>0</v>
      </c>
      <c r="J508" s="10">
        <v>0</v>
      </c>
      <c r="K508" s="10">
        <v>0</v>
      </c>
      <c r="L508" s="10">
        <v>0</v>
      </c>
      <c r="M508" s="10" t="str">
        <f>IFERROR(VLOOKUP($B508,[1]INV!$B$7:$H$2575,7,0),"")</f>
        <v/>
      </c>
      <c r="N508" s="10"/>
      <c r="O508" s="10"/>
      <c r="P508" s="10"/>
      <c r="Q508" s="10"/>
      <c r="R508" s="10"/>
      <c r="S508" s="10"/>
      <c r="T508" s="10"/>
      <c r="U508" s="1">
        <f t="shared" si="28"/>
        <v>0</v>
      </c>
      <c r="V508" s="1">
        <f t="shared" si="29"/>
        <v>0</v>
      </c>
      <c r="W508" s="1">
        <f t="shared" si="30"/>
        <v>0</v>
      </c>
      <c r="X508" s="1">
        <f t="shared" si="31"/>
        <v>0</v>
      </c>
    </row>
    <row r="509" spans="2:24" x14ac:dyDescent="0.25">
      <c r="B509" s="11">
        <f>[1]code!B506</f>
        <v>850</v>
      </c>
      <c r="C509" s="2" t="str">
        <f>[1]code!C506</f>
        <v>ريحان</v>
      </c>
      <c r="D509" s="2" t="str">
        <f>[1]code!D506</f>
        <v>خضار باك ستريت</v>
      </c>
      <c r="E509" s="1" t="str">
        <f>[1]code!E506</f>
        <v>كيلو</v>
      </c>
      <c r="F509" s="2">
        <f>[1]code!F506</f>
        <v>0</v>
      </c>
      <c r="G509" s="12">
        <f>[1]code!G506</f>
        <v>0</v>
      </c>
      <c r="I509" s="10">
        <v>0</v>
      </c>
      <c r="J509" s="10">
        <v>0</v>
      </c>
      <c r="K509" s="10">
        <v>0</v>
      </c>
      <c r="L509" s="10">
        <v>0</v>
      </c>
      <c r="M509" s="10" t="str">
        <f>IFERROR(VLOOKUP($B509,[1]INV!$B$7:$H$2575,7,0),"")</f>
        <v/>
      </c>
      <c r="N509" s="10"/>
      <c r="O509" s="10"/>
      <c r="P509" s="10"/>
      <c r="Q509" s="10"/>
      <c r="R509" s="10"/>
      <c r="S509" s="10"/>
      <c r="T509" s="10"/>
      <c r="U509" s="1">
        <f t="shared" si="28"/>
        <v>0</v>
      </c>
      <c r="V509" s="1">
        <f t="shared" si="29"/>
        <v>0</v>
      </c>
      <c r="W509" s="1">
        <f t="shared" si="30"/>
        <v>0</v>
      </c>
      <c r="X509" s="1">
        <f t="shared" si="31"/>
        <v>0</v>
      </c>
    </row>
    <row r="510" spans="2:24" x14ac:dyDescent="0.25">
      <c r="B510" s="11">
        <f>[1]code!B507</f>
        <v>564</v>
      </c>
      <c r="C510" s="2" t="str">
        <f>[1]code!C507</f>
        <v>برتقال</v>
      </c>
      <c r="D510" s="2" t="str">
        <f>[1]code!D507</f>
        <v>خضار وفواكه المشربية</v>
      </c>
      <c r="E510" s="1" t="str">
        <f>[1]code!E507</f>
        <v>كيلو</v>
      </c>
      <c r="F510" s="2">
        <f>[1]code!F507</f>
        <v>0</v>
      </c>
      <c r="G510" s="12">
        <f>[1]code!G507</f>
        <v>4.5999999999999996</v>
      </c>
      <c r="I510" s="10">
        <v>4.5999999999999996</v>
      </c>
      <c r="J510" s="10">
        <v>4.6000000000000014</v>
      </c>
      <c r="K510" s="10">
        <v>4.5999999999999996</v>
      </c>
      <c r="L510" s="10">
        <v>4.5999999999999996</v>
      </c>
      <c r="M510" s="10">
        <f>IFERROR(VLOOKUP($B510,[1]INV!$B$7:$H$2575,7,0),"")</f>
        <v>4.5999999999999996</v>
      </c>
      <c r="N510" s="10"/>
      <c r="O510" s="10"/>
      <c r="P510" s="10"/>
      <c r="Q510" s="10"/>
      <c r="R510" s="10"/>
      <c r="S510" s="10"/>
      <c r="T510" s="10"/>
      <c r="U510" s="1">
        <f t="shared" si="28"/>
        <v>4.5999999999999996</v>
      </c>
      <c r="V510" s="1">
        <f t="shared" si="29"/>
        <v>4.6000000000000014</v>
      </c>
      <c r="W510" s="1">
        <f t="shared" si="30"/>
        <v>4.5999999999999996</v>
      </c>
      <c r="X510" s="1">
        <f t="shared" si="31"/>
        <v>4.5999999999999996</v>
      </c>
    </row>
    <row r="511" spans="2:24" x14ac:dyDescent="0.25">
      <c r="B511" s="11">
        <f>[1]code!B508</f>
        <v>577</v>
      </c>
      <c r="C511" s="2" t="str">
        <f>[1]code!C508</f>
        <v>باذنجان أسود</v>
      </c>
      <c r="D511" s="2" t="str">
        <f>[1]code!D508</f>
        <v>خضار وفواكه المشربية</v>
      </c>
      <c r="E511" s="1" t="str">
        <f>[1]code!E508</f>
        <v>كيلو</v>
      </c>
      <c r="F511" s="2">
        <f>[1]code!F508</f>
        <v>0</v>
      </c>
      <c r="G511" s="12">
        <f>[1]code!G508</f>
        <v>5.75</v>
      </c>
      <c r="I511" s="10">
        <v>0</v>
      </c>
      <c r="J511" s="10">
        <v>0</v>
      </c>
      <c r="K511" s="10">
        <v>0</v>
      </c>
      <c r="L511" s="10">
        <v>0</v>
      </c>
      <c r="M511" s="10" t="str">
        <f>IFERROR(VLOOKUP($B511,[1]INV!$B$7:$H$2575,7,0),"")</f>
        <v/>
      </c>
      <c r="N511" s="10"/>
      <c r="O511" s="10"/>
      <c r="P511" s="10"/>
      <c r="Q511" s="10"/>
      <c r="R511" s="10"/>
      <c r="S511" s="10"/>
      <c r="T511" s="10"/>
      <c r="U511" s="1">
        <f t="shared" si="28"/>
        <v>0</v>
      </c>
      <c r="V511" s="1">
        <f t="shared" si="29"/>
        <v>0</v>
      </c>
      <c r="W511" s="1">
        <f t="shared" si="30"/>
        <v>0</v>
      </c>
      <c r="X511" s="1">
        <f t="shared" si="31"/>
        <v>0</v>
      </c>
    </row>
    <row r="512" spans="2:24" x14ac:dyDescent="0.25">
      <c r="B512" s="11">
        <f>[1]code!B509</f>
        <v>836</v>
      </c>
      <c r="C512" s="2" t="str">
        <f>[1]code!C509</f>
        <v>كراث</v>
      </c>
      <c r="D512" s="2" t="str">
        <f>[1]code!D509</f>
        <v>خضار وفواكه المشربية</v>
      </c>
      <c r="E512" s="1" t="str">
        <f>[1]code!E509</f>
        <v>كيلو</v>
      </c>
      <c r="F512" s="2">
        <f>[1]code!F509</f>
        <v>0</v>
      </c>
      <c r="G512" s="12">
        <f>[1]code!G509</f>
        <v>0</v>
      </c>
      <c r="I512" s="10">
        <v>0</v>
      </c>
      <c r="J512" s="10">
        <v>0</v>
      </c>
      <c r="K512" s="10">
        <v>0</v>
      </c>
      <c r="L512" s="10">
        <v>0</v>
      </c>
      <c r="M512" s="10" t="str">
        <f>IFERROR(VLOOKUP($B512,[1]INV!$B$7:$H$2575,7,0),"")</f>
        <v/>
      </c>
      <c r="N512" s="10"/>
      <c r="O512" s="10"/>
      <c r="P512" s="10"/>
      <c r="Q512" s="10"/>
      <c r="R512" s="10"/>
      <c r="S512" s="10"/>
      <c r="T512" s="10"/>
      <c r="U512" s="1">
        <f t="shared" si="28"/>
        <v>0</v>
      </c>
      <c r="V512" s="1">
        <f t="shared" si="29"/>
        <v>0</v>
      </c>
      <c r="W512" s="1">
        <f t="shared" si="30"/>
        <v>0</v>
      </c>
      <c r="X512" s="1">
        <f t="shared" si="31"/>
        <v>0</v>
      </c>
    </row>
    <row r="513" spans="2:24" x14ac:dyDescent="0.25">
      <c r="B513" s="11">
        <f>[1]code!B510</f>
        <v>837</v>
      </c>
      <c r="C513" s="2" t="str">
        <f>[1]code!C510</f>
        <v>أناناس</v>
      </c>
      <c r="D513" s="2" t="str">
        <f>[1]code!D510</f>
        <v>خضار وفواكه المشربية</v>
      </c>
      <c r="E513" s="1" t="str">
        <f>[1]code!E510</f>
        <v>كيلو</v>
      </c>
      <c r="F513" s="2">
        <f>[1]code!F510</f>
        <v>0</v>
      </c>
      <c r="G513" s="12">
        <f>[1]code!G510</f>
        <v>9.1999999999999993</v>
      </c>
      <c r="I513" s="10">
        <v>0</v>
      </c>
      <c r="J513" s="10">
        <v>9.2000000000000011</v>
      </c>
      <c r="K513" s="10">
        <v>9.2000000000000011</v>
      </c>
      <c r="L513" s="10">
        <v>9.2000000000000011</v>
      </c>
      <c r="M513" s="10" t="str">
        <f>IFERROR(VLOOKUP($B513,[1]INV!$B$7:$H$2575,7,0),"")</f>
        <v/>
      </c>
      <c r="N513" s="10"/>
      <c r="O513" s="10"/>
      <c r="P513" s="10"/>
      <c r="Q513" s="10"/>
      <c r="R513" s="10"/>
      <c r="S513" s="10"/>
      <c r="T513" s="10"/>
      <c r="U513" s="1">
        <f t="shared" si="28"/>
        <v>0</v>
      </c>
      <c r="V513" s="1">
        <f t="shared" si="29"/>
        <v>9.2000000000000011</v>
      </c>
      <c r="W513" s="1">
        <f t="shared" si="30"/>
        <v>9.2000000000000011</v>
      </c>
      <c r="X513" s="1">
        <f t="shared" si="31"/>
        <v>9.2000000000000011</v>
      </c>
    </row>
    <row r="514" spans="2:24" x14ac:dyDescent="0.25">
      <c r="B514" s="11">
        <f>[1]code!B511</f>
        <v>567</v>
      </c>
      <c r="C514" s="2" t="str">
        <f>[1]code!C511</f>
        <v>أفوكادو</v>
      </c>
      <c r="D514" s="2" t="str">
        <f>[1]code!D511</f>
        <v>خضار وفواكه المشربية</v>
      </c>
      <c r="E514" s="1" t="str">
        <f>[1]code!E511</f>
        <v>كيلو</v>
      </c>
      <c r="F514" s="2">
        <f>[1]code!F511</f>
        <v>0</v>
      </c>
      <c r="G514" s="12">
        <f>[1]code!G511</f>
        <v>34.5</v>
      </c>
      <c r="I514" s="10">
        <v>34.5</v>
      </c>
      <c r="J514" s="10">
        <v>34.5</v>
      </c>
      <c r="K514" s="10">
        <v>34.5</v>
      </c>
      <c r="L514" s="10">
        <v>34.5</v>
      </c>
      <c r="M514" s="10">
        <f>IFERROR(VLOOKUP($B514,[1]INV!$B$7:$H$2575,7,0),"")</f>
        <v>34.5</v>
      </c>
      <c r="N514" s="10"/>
      <c r="O514" s="10"/>
      <c r="P514" s="10"/>
      <c r="Q514" s="10"/>
      <c r="R514" s="10"/>
      <c r="S514" s="10"/>
      <c r="T514" s="10"/>
      <c r="U514" s="1">
        <f t="shared" si="28"/>
        <v>34.5</v>
      </c>
      <c r="V514" s="1">
        <f t="shared" si="29"/>
        <v>34.5</v>
      </c>
      <c r="W514" s="1">
        <f t="shared" si="30"/>
        <v>34.5</v>
      </c>
      <c r="X514" s="1">
        <f t="shared" si="31"/>
        <v>34.5</v>
      </c>
    </row>
    <row r="515" spans="2:24" x14ac:dyDescent="0.25">
      <c r="B515" s="11">
        <f>[1]code!B512</f>
        <v>560</v>
      </c>
      <c r="C515" s="2" t="str">
        <f>[1]code!C512</f>
        <v>تفاح أحمر</v>
      </c>
      <c r="D515" s="2" t="str">
        <f>[1]code!D512</f>
        <v>خضار وفواكه المشربية</v>
      </c>
      <c r="E515" s="1" t="str">
        <f>[1]code!E512</f>
        <v>كيلو</v>
      </c>
      <c r="F515" s="2">
        <f>[1]code!F512</f>
        <v>0</v>
      </c>
      <c r="G515" s="12">
        <f>[1]code!G512</f>
        <v>7.4749999999999996</v>
      </c>
      <c r="I515" s="10">
        <v>7.4749999999999996</v>
      </c>
      <c r="J515" s="10">
        <v>7.4749999999999988</v>
      </c>
      <c r="K515" s="10">
        <v>7.4749999999999996</v>
      </c>
      <c r="L515" s="10">
        <v>7.4749999999999996</v>
      </c>
      <c r="M515" s="10">
        <f>IFERROR(VLOOKUP($B515,[1]INV!$B$7:$H$2575,7,0),"")</f>
        <v>7.4750000000000005</v>
      </c>
      <c r="N515" s="10"/>
      <c r="O515" s="10"/>
      <c r="P515" s="10"/>
      <c r="Q515" s="10"/>
      <c r="R515" s="10"/>
      <c r="S515" s="10"/>
      <c r="T515" s="10"/>
      <c r="U515" s="1">
        <f t="shared" si="28"/>
        <v>7.4749999999999996</v>
      </c>
      <c r="V515" s="1">
        <f t="shared" si="29"/>
        <v>7.4749999999999988</v>
      </c>
      <c r="W515" s="1">
        <f t="shared" si="30"/>
        <v>7.4749999999999996</v>
      </c>
      <c r="X515" s="1">
        <f t="shared" si="31"/>
        <v>7.4749999999999996</v>
      </c>
    </row>
    <row r="516" spans="2:24" x14ac:dyDescent="0.25">
      <c r="B516" s="11">
        <f>[1]code!B513</f>
        <v>565</v>
      </c>
      <c r="C516" s="2" t="str">
        <f>[1]code!C513</f>
        <v>تفاح أخضر</v>
      </c>
      <c r="D516" s="2" t="str">
        <f>[1]code!D513</f>
        <v>خضار وفواكه المشربية</v>
      </c>
      <c r="E516" s="1" t="str">
        <f>[1]code!E513</f>
        <v>كيلو</v>
      </c>
      <c r="F516" s="2">
        <f>[1]code!F513</f>
        <v>0</v>
      </c>
      <c r="G516" s="12">
        <f>[1]code!G513</f>
        <v>7.4749999999999996</v>
      </c>
      <c r="I516" s="10">
        <v>7.4749999999999996</v>
      </c>
      <c r="J516" s="10">
        <v>7.4749999999999996</v>
      </c>
      <c r="K516" s="10">
        <v>7.4749999999999996</v>
      </c>
      <c r="L516" s="10">
        <v>7.4749999999999996</v>
      </c>
      <c r="M516" s="10" t="str">
        <f>IFERROR(VLOOKUP($B516,[1]INV!$B$7:$H$2575,7,0),"")</f>
        <v/>
      </c>
      <c r="N516" s="10"/>
      <c r="O516" s="10"/>
      <c r="P516" s="10"/>
      <c r="Q516" s="10"/>
      <c r="R516" s="10"/>
      <c r="S516" s="10"/>
      <c r="T516" s="10"/>
      <c r="U516" s="1">
        <f t="shared" si="28"/>
        <v>7.4749999999999996</v>
      </c>
      <c r="V516" s="1">
        <f t="shared" si="29"/>
        <v>7.4749999999999996</v>
      </c>
      <c r="W516" s="1">
        <f t="shared" si="30"/>
        <v>7.4749999999999996</v>
      </c>
      <c r="X516" s="1">
        <f t="shared" si="31"/>
        <v>7.4749999999999996</v>
      </c>
    </row>
    <row r="517" spans="2:24" x14ac:dyDescent="0.25">
      <c r="B517" s="11">
        <f>[1]code!B514</f>
        <v>561</v>
      </c>
      <c r="C517" s="2" t="str">
        <f>[1]code!C514</f>
        <v>موز أمريكي</v>
      </c>
      <c r="D517" s="2" t="str">
        <f>[1]code!D514</f>
        <v>خضار وفواكه المشربية</v>
      </c>
      <c r="E517" s="1" t="str">
        <f>[1]code!E514</f>
        <v>كيلو</v>
      </c>
      <c r="F517" s="2">
        <f>[1]code!F514</f>
        <v>0</v>
      </c>
      <c r="G517" s="12">
        <f>[1]code!G514</f>
        <v>5.7499999999999991</v>
      </c>
      <c r="I517" s="10">
        <v>5.7499999999999991</v>
      </c>
      <c r="J517" s="10">
        <v>5.7499999999999991</v>
      </c>
      <c r="K517" s="10">
        <v>5.7499999999999991</v>
      </c>
      <c r="L517" s="10">
        <v>5.75</v>
      </c>
      <c r="M517" s="10">
        <f>IFERROR(VLOOKUP($B517,[1]INV!$B$7:$H$2575,7,0),"")</f>
        <v>5.75</v>
      </c>
      <c r="N517" s="10"/>
      <c r="O517" s="10"/>
      <c r="P517" s="10"/>
      <c r="Q517" s="10"/>
      <c r="R517" s="10"/>
      <c r="S517" s="10"/>
      <c r="T517" s="10"/>
      <c r="U517" s="1">
        <f t="shared" si="28"/>
        <v>5.7499999999999991</v>
      </c>
      <c r="V517" s="1">
        <f t="shared" si="29"/>
        <v>5.7499999999999991</v>
      </c>
      <c r="W517" s="1">
        <f t="shared" si="30"/>
        <v>5.7499999999999991</v>
      </c>
      <c r="X517" s="1">
        <f t="shared" si="31"/>
        <v>5.75</v>
      </c>
    </row>
    <row r="518" spans="2:24" x14ac:dyDescent="0.25">
      <c r="B518" s="11">
        <f>[1]code!B515</f>
        <v>562</v>
      </c>
      <c r="C518" s="2" t="str">
        <f>[1]code!C515</f>
        <v>فراولة أمريكي</v>
      </c>
      <c r="D518" s="2" t="str">
        <f>[1]code!D515</f>
        <v>خضار وفواكه المشربية</v>
      </c>
      <c r="E518" s="1" t="str">
        <f>[1]code!E515</f>
        <v>كيلو</v>
      </c>
      <c r="F518" s="2">
        <f>[1]code!F515</f>
        <v>0</v>
      </c>
      <c r="G518" s="12">
        <f>[1]code!G515</f>
        <v>17.25</v>
      </c>
      <c r="I518" s="10">
        <v>17.25</v>
      </c>
      <c r="J518" s="10">
        <v>17.25</v>
      </c>
      <c r="K518" s="10">
        <v>17.25</v>
      </c>
      <c r="L518" s="10">
        <v>17.25</v>
      </c>
      <c r="M518" s="10">
        <f>IFERROR(VLOOKUP($B518,[1]INV!$B$7:$H$2575,7,0),"")</f>
        <v>17.25</v>
      </c>
      <c r="N518" s="10"/>
      <c r="O518" s="10"/>
      <c r="P518" s="10"/>
      <c r="Q518" s="10"/>
      <c r="R518" s="10"/>
      <c r="S518" s="10"/>
      <c r="T518" s="10"/>
      <c r="U518" s="1">
        <f t="shared" si="28"/>
        <v>17.25</v>
      </c>
      <c r="V518" s="1">
        <f t="shared" si="29"/>
        <v>17.25</v>
      </c>
      <c r="W518" s="1">
        <f t="shared" si="30"/>
        <v>17.25</v>
      </c>
      <c r="X518" s="1">
        <f t="shared" si="31"/>
        <v>17.25</v>
      </c>
    </row>
    <row r="519" spans="2:24" x14ac:dyDescent="0.25">
      <c r="B519" s="11">
        <f>[1]code!B516</f>
        <v>821</v>
      </c>
      <c r="C519" s="2" t="str">
        <f>[1]code!C516</f>
        <v>خيار</v>
      </c>
      <c r="D519" s="2" t="str">
        <f>[1]code!D516</f>
        <v>خضار وفواكه المشربية</v>
      </c>
      <c r="E519" s="1" t="str">
        <f>[1]code!E516</f>
        <v>كيلو</v>
      </c>
      <c r="F519" s="2">
        <f>[1]code!F516</f>
        <v>0</v>
      </c>
      <c r="G519" s="12">
        <f>[1]code!G516</f>
        <v>4.0907925170068031</v>
      </c>
      <c r="I519" s="10">
        <v>4.0907925170068031</v>
      </c>
      <c r="J519" s="10">
        <v>4.0250000000000004</v>
      </c>
      <c r="K519" s="10">
        <v>4.0250000000000004</v>
      </c>
      <c r="L519" s="10">
        <v>4.0250000000000004</v>
      </c>
      <c r="M519" s="10">
        <f>IFERROR(VLOOKUP($B519,[1]INV!$B$7:$H$2575,7,0),"")</f>
        <v>4.0250000000000012</v>
      </c>
      <c r="N519" s="10"/>
      <c r="O519" s="10"/>
      <c r="P519" s="10"/>
      <c r="Q519" s="10"/>
      <c r="R519" s="10"/>
      <c r="S519" s="10"/>
      <c r="T519" s="10"/>
      <c r="U519" s="1">
        <f t="shared" si="28"/>
        <v>4.0907925170068031</v>
      </c>
      <c r="V519" s="1">
        <f t="shared" si="29"/>
        <v>4.0250000000000004</v>
      </c>
      <c r="W519" s="1">
        <f t="shared" si="30"/>
        <v>4.0250000000000004</v>
      </c>
      <c r="X519" s="1">
        <f t="shared" si="31"/>
        <v>4.0250000000000004</v>
      </c>
    </row>
    <row r="520" spans="2:24" x14ac:dyDescent="0.25">
      <c r="B520" s="11">
        <f>[1]code!B517</f>
        <v>558</v>
      </c>
      <c r="C520" s="2" t="str">
        <f>[1]code!C517</f>
        <v>رمان</v>
      </c>
      <c r="D520" s="2" t="str">
        <f>[1]code!D517</f>
        <v>خضار وفواكه المشربية</v>
      </c>
      <c r="E520" s="1" t="str">
        <f>[1]code!E517</f>
        <v>كيلو</v>
      </c>
      <c r="F520" s="2">
        <f>[1]code!F517</f>
        <v>0</v>
      </c>
      <c r="G520" s="12">
        <f>[1]code!G517</f>
        <v>10.35</v>
      </c>
      <c r="I520" s="10">
        <v>0</v>
      </c>
      <c r="J520" s="10">
        <v>0</v>
      </c>
      <c r="K520" s="10">
        <v>0</v>
      </c>
      <c r="L520" s="10">
        <v>0</v>
      </c>
      <c r="M520" s="10" t="str">
        <f>IFERROR(VLOOKUP($B520,[1]INV!$B$7:$H$2575,7,0),"")</f>
        <v/>
      </c>
      <c r="N520" s="10"/>
      <c r="O520" s="10"/>
      <c r="P520" s="10"/>
      <c r="Q520" s="10"/>
      <c r="R520" s="10"/>
      <c r="S520" s="10"/>
      <c r="T520" s="10"/>
      <c r="U520" s="1">
        <f t="shared" ref="U520:U583" si="32">IF($I520="",$G520,$I520)</f>
        <v>0</v>
      </c>
      <c r="V520" s="1">
        <f t="shared" ref="V520:V583" si="33">IF($J520="",$I520,$J520)</f>
        <v>0</v>
      </c>
      <c r="W520" s="1">
        <f t="shared" ref="W520:W583" si="34">IF($K520="",$J520,$K520)</f>
        <v>0</v>
      </c>
      <c r="X520" s="1">
        <f t="shared" ref="X520:X583" si="35">IF($L520="",$K520,$L520)</f>
        <v>0</v>
      </c>
    </row>
    <row r="521" spans="2:24" x14ac:dyDescent="0.25">
      <c r="B521" s="11">
        <f>[1]code!B518</f>
        <v>773</v>
      </c>
      <c r="C521" s="2" t="str">
        <f>[1]code!C518</f>
        <v>كليشات مطبوعات</v>
      </c>
      <c r="D521" s="2">
        <f>[1]code!D518</f>
        <v>0</v>
      </c>
      <c r="E521" s="1" t="str">
        <f>[1]code!E518</f>
        <v>عدد</v>
      </c>
      <c r="F521" s="2">
        <f>[1]code!F518</f>
        <v>0</v>
      </c>
      <c r="G521" s="12">
        <f>[1]code!G518</f>
        <v>0</v>
      </c>
      <c r="I521" s="10">
        <v>0</v>
      </c>
      <c r="J521" s="10">
        <v>0</v>
      </c>
      <c r="K521" s="10">
        <v>0</v>
      </c>
      <c r="L521" s="10">
        <v>0</v>
      </c>
      <c r="M521" s="10" t="str">
        <f>IFERROR(VLOOKUP($B521,[1]INV!$B$7:$H$2575,7,0),"")</f>
        <v/>
      </c>
      <c r="N521" s="10"/>
      <c r="O521" s="10"/>
      <c r="P521" s="10"/>
      <c r="Q521" s="10"/>
      <c r="R521" s="10"/>
      <c r="S521" s="10"/>
      <c r="T521" s="10"/>
      <c r="U521" s="1">
        <f t="shared" si="32"/>
        <v>0</v>
      </c>
      <c r="V521" s="1">
        <f t="shared" si="33"/>
        <v>0</v>
      </c>
      <c r="W521" s="1">
        <f t="shared" si="34"/>
        <v>0</v>
      </c>
      <c r="X521" s="1">
        <f t="shared" si="35"/>
        <v>0</v>
      </c>
    </row>
    <row r="522" spans="2:24" x14ac:dyDescent="0.25">
      <c r="B522" s="11">
        <f>[1]code!B519</f>
        <v>802</v>
      </c>
      <c r="C522" s="2" t="str">
        <f>[1]code!C519</f>
        <v>خل عنب</v>
      </c>
      <c r="D522" s="2" t="str">
        <f>[1]code!D519</f>
        <v>مواد غذائية (باك ستريت)</v>
      </c>
      <c r="E522" s="1" t="str">
        <f>[1]code!E519</f>
        <v>لتر</v>
      </c>
      <c r="F522" s="2" t="str">
        <f>[1]code!F519</f>
        <v>تموين الشرق - فريشلي</v>
      </c>
      <c r="G522" s="12">
        <f>[1]code!G519</f>
        <v>0</v>
      </c>
      <c r="I522" s="10">
        <v>0</v>
      </c>
      <c r="J522" s="10">
        <v>0</v>
      </c>
      <c r="K522" s="10">
        <v>0</v>
      </c>
      <c r="L522" s="10">
        <v>0</v>
      </c>
      <c r="M522" s="10" t="str">
        <f>IFERROR(VLOOKUP($B522,[1]INV!$B$7:$H$2575,7,0),"")</f>
        <v/>
      </c>
      <c r="N522" s="10"/>
      <c r="O522" s="10"/>
      <c r="P522" s="10"/>
      <c r="Q522" s="10"/>
      <c r="R522" s="10"/>
      <c r="S522" s="10"/>
      <c r="T522" s="10"/>
      <c r="U522" s="1">
        <f t="shared" si="32"/>
        <v>0</v>
      </c>
      <c r="V522" s="1">
        <f t="shared" si="33"/>
        <v>0</v>
      </c>
      <c r="W522" s="1">
        <f t="shared" si="34"/>
        <v>0</v>
      </c>
      <c r="X522" s="1">
        <f t="shared" si="35"/>
        <v>0</v>
      </c>
    </row>
    <row r="523" spans="2:24" x14ac:dyDescent="0.25">
      <c r="B523" s="11">
        <f>[1]code!B520</f>
        <v>400</v>
      </c>
      <c r="C523" s="2" t="str">
        <f>[1]code!C520</f>
        <v>معسل مستكة ٢٥٠ جرام - المشربية</v>
      </c>
      <c r="D523" s="2" t="str">
        <f>[1]code!D520</f>
        <v>الشيشة</v>
      </c>
      <c r="E523" s="1" t="str">
        <f>[1]code!E520</f>
        <v>بكت</v>
      </c>
      <c r="F523" s="2" t="str">
        <f>[1]code!F520</f>
        <v>معسلات المشربية</v>
      </c>
      <c r="G523" s="12">
        <f>[1]code!G520</f>
        <v>67.500399999999999</v>
      </c>
      <c r="I523" s="10">
        <v>67.500399999999999</v>
      </c>
      <c r="J523" s="10">
        <v>67.500399999999999</v>
      </c>
      <c r="K523" s="10">
        <v>69.775099999999995</v>
      </c>
      <c r="L523" s="10">
        <v>64.206033333333338</v>
      </c>
      <c r="M523" s="10">
        <f>IFERROR(VLOOKUP($B523,[1]INV!$B$7:$H$2575,7,0),"")</f>
        <v>64.566941666666665</v>
      </c>
      <c r="N523" s="10"/>
      <c r="O523" s="10"/>
      <c r="P523" s="10"/>
      <c r="Q523" s="10"/>
      <c r="R523" s="10"/>
      <c r="S523" s="10"/>
      <c r="T523" s="10"/>
      <c r="U523" s="1">
        <f t="shared" si="32"/>
        <v>67.500399999999999</v>
      </c>
      <c r="V523" s="1">
        <f t="shared" si="33"/>
        <v>67.500399999999999</v>
      </c>
      <c r="W523" s="1">
        <f t="shared" si="34"/>
        <v>69.775099999999995</v>
      </c>
      <c r="X523" s="1">
        <f t="shared" si="35"/>
        <v>64.206033333333338</v>
      </c>
    </row>
    <row r="524" spans="2:24" x14ac:dyDescent="0.25">
      <c r="B524" s="11">
        <f>[1]code!B521</f>
        <v>779</v>
      </c>
      <c r="C524" s="2" t="str">
        <f>[1]code!C521</f>
        <v>ماكينة اوتوكت</v>
      </c>
      <c r="D524" s="2" t="str">
        <f>[1]code!D521</f>
        <v>أدوات تشغيل</v>
      </c>
      <c r="E524" s="1" t="str">
        <f>[1]code!E521</f>
        <v>حبة</v>
      </c>
      <c r="F524" s="2">
        <f>[1]code!F521</f>
        <v>0</v>
      </c>
      <c r="G524" s="12">
        <f>[1]code!G521</f>
        <v>0</v>
      </c>
      <c r="I524" s="10">
        <v>0</v>
      </c>
      <c r="J524" s="10">
        <v>0</v>
      </c>
      <c r="K524" s="10">
        <v>0</v>
      </c>
      <c r="L524" s="10">
        <v>0</v>
      </c>
      <c r="M524" s="10" t="str">
        <f>IFERROR(VLOOKUP($B524,[1]INV!$B$7:$H$2575,7,0),"")</f>
        <v/>
      </c>
      <c r="N524" s="10"/>
      <c r="O524" s="10"/>
      <c r="P524" s="10"/>
      <c r="Q524" s="10"/>
      <c r="R524" s="10"/>
      <c r="S524" s="10"/>
      <c r="T524" s="10"/>
      <c r="U524" s="1">
        <f t="shared" si="32"/>
        <v>0</v>
      </c>
      <c r="V524" s="1">
        <f t="shared" si="33"/>
        <v>0</v>
      </c>
      <c r="W524" s="1">
        <f t="shared" si="34"/>
        <v>0</v>
      </c>
      <c r="X524" s="1">
        <f t="shared" si="35"/>
        <v>0</v>
      </c>
    </row>
    <row r="525" spans="2:24" x14ac:dyDescent="0.25">
      <c r="B525" s="11">
        <f>[1]code!B522</f>
        <v>743</v>
      </c>
      <c r="C525" s="2" t="str">
        <f>[1]code!C522</f>
        <v>علب صوص 2 اونز</v>
      </c>
      <c r="D525" s="2" t="str">
        <f>[1]code!D522</f>
        <v>تعبئة و تغليف (باك ستريت)</v>
      </c>
      <c r="E525" s="1" t="str">
        <f>[1]code!E522</f>
        <v>حبة</v>
      </c>
      <c r="F525" s="2" t="str">
        <f>[1]code!F522</f>
        <v>الظاهرى</v>
      </c>
      <c r="G525" s="12">
        <f>[1]code!G522</f>
        <v>0</v>
      </c>
      <c r="I525" s="10">
        <v>0</v>
      </c>
      <c r="J525" s="10">
        <v>0</v>
      </c>
      <c r="K525" s="10">
        <v>0</v>
      </c>
      <c r="L525" s="10">
        <v>0</v>
      </c>
      <c r="M525" s="10" t="str">
        <f>IFERROR(VLOOKUP($B525,[1]INV!$B$7:$H$2575,7,0),"")</f>
        <v/>
      </c>
      <c r="N525" s="10"/>
      <c r="O525" s="10"/>
      <c r="P525" s="10"/>
      <c r="Q525" s="10"/>
      <c r="R525" s="10"/>
      <c r="S525" s="10"/>
      <c r="T525" s="10"/>
      <c r="U525" s="1">
        <f t="shared" si="32"/>
        <v>0</v>
      </c>
      <c r="V525" s="1">
        <f t="shared" si="33"/>
        <v>0</v>
      </c>
      <c r="W525" s="1">
        <f t="shared" si="34"/>
        <v>0</v>
      </c>
      <c r="X525" s="1">
        <f t="shared" si="35"/>
        <v>0</v>
      </c>
    </row>
    <row r="526" spans="2:24" x14ac:dyDescent="0.25">
      <c r="B526" s="11">
        <f>[1]code!B523</f>
        <v>854</v>
      </c>
      <c r="C526" s="2" t="str">
        <f>[1]code!C523</f>
        <v>شمندر</v>
      </c>
      <c r="D526" s="2" t="str">
        <f>[1]code!D523</f>
        <v>خضار وفواكه المشربية</v>
      </c>
      <c r="E526" s="1" t="str">
        <f>[1]code!E523</f>
        <v>كيلو</v>
      </c>
      <c r="F526" s="2">
        <f>[1]code!F523</f>
        <v>0</v>
      </c>
      <c r="G526" s="12">
        <f>[1]code!G523</f>
        <v>0</v>
      </c>
      <c r="I526" s="10">
        <v>0</v>
      </c>
      <c r="J526" s="10">
        <v>0</v>
      </c>
      <c r="K526" s="10">
        <v>0</v>
      </c>
      <c r="L526" s="10">
        <v>0</v>
      </c>
      <c r="M526" s="10" t="str">
        <f>IFERROR(VLOOKUP($B526,[1]INV!$B$7:$H$2575,7,0),"")</f>
        <v/>
      </c>
      <c r="N526" s="10"/>
      <c r="O526" s="10"/>
      <c r="P526" s="10"/>
      <c r="Q526" s="10"/>
      <c r="R526" s="10"/>
      <c r="S526" s="10"/>
      <c r="T526" s="10"/>
      <c r="U526" s="1">
        <f t="shared" si="32"/>
        <v>0</v>
      </c>
      <c r="V526" s="1">
        <f t="shared" si="33"/>
        <v>0</v>
      </c>
      <c r="W526" s="1">
        <f t="shared" si="34"/>
        <v>0</v>
      </c>
      <c r="X526" s="1">
        <f t="shared" si="35"/>
        <v>0</v>
      </c>
    </row>
    <row r="527" spans="2:24" x14ac:dyDescent="0.25">
      <c r="B527" s="11">
        <f>[1]code!B524</f>
        <v>426</v>
      </c>
      <c r="C527" s="2" t="str">
        <f>[1]code!C524</f>
        <v xml:space="preserve">كريمة لوتس </v>
      </c>
      <c r="D527" s="2" t="str">
        <f>[1]code!D524</f>
        <v>المشربية</v>
      </c>
      <c r="E527" s="1" t="str">
        <f>[1]code!E524</f>
        <v>كيلو</v>
      </c>
      <c r="F527" s="2" t="str">
        <f>[1]code!F524</f>
        <v>مشتريات مباشرة</v>
      </c>
      <c r="G527" s="12">
        <f>[1]code!G524</f>
        <v>0</v>
      </c>
      <c r="I527" s="10">
        <v>0</v>
      </c>
      <c r="J527" s="10">
        <v>0</v>
      </c>
      <c r="K527" s="10">
        <v>0</v>
      </c>
      <c r="L527" s="10">
        <v>0</v>
      </c>
      <c r="M527" s="10" t="str">
        <f>IFERROR(VLOOKUP($B527,[1]INV!$B$7:$H$2575,7,0),"")</f>
        <v/>
      </c>
      <c r="N527" s="10"/>
      <c r="O527" s="10"/>
      <c r="P527" s="10"/>
      <c r="Q527" s="10"/>
      <c r="R527" s="10"/>
      <c r="S527" s="10"/>
      <c r="T527" s="10"/>
      <c r="U527" s="1">
        <f t="shared" si="32"/>
        <v>0</v>
      </c>
      <c r="V527" s="1">
        <f t="shared" si="33"/>
        <v>0</v>
      </c>
      <c r="W527" s="1">
        <f t="shared" si="34"/>
        <v>0</v>
      </c>
      <c r="X527" s="1">
        <f t="shared" si="35"/>
        <v>0</v>
      </c>
    </row>
    <row r="528" spans="2:24" x14ac:dyDescent="0.25">
      <c r="B528" s="11">
        <f>[1]code!B525</f>
        <v>855</v>
      </c>
      <c r="C528" s="2" t="str">
        <f>[1]code!C525</f>
        <v xml:space="preserve">مفرش سفرة غير مطبوع </v>
      </c>
      <c r="D528" s="2" t="str">
        <f>[1]code!D525</f>
        <v>المشربية</v>
      </c>
      <c r="E528" s="1" t="str">
        <f>[1]code!E525</f>
        <v>حبة</v>
      </c>
      <c r="F528" s="2" t="str">
        <f>[1]code!F525</f>
        <v>مشتريات مباشرة</v>
      </c>
      <c r="G528" s="12">
        <f>[1]code!G525</f>
        <v>0</v>
      </c>
      <c r="I528" s="10">
        <v>0</v>
      </c>
      <c r="J528" s="10">
        <v>0</v>
      </c>
      <c r="K528" s="10">
        <v>0</v>
      </c>
      <c r="L528" s="10">
        <v>0</v>
      </c>
      <c r="M528" s="10" t="str">
        <f>IFERROR(VLOOKUP($B528,[1]INV!$B$7:$H$2575,7,0),"")</f>
        <v/>
      </c>
      <c r="N528" s="10"/>
      <c r="O528" s="10"/>
      <c r="P528" s="10"/>
      <c r="Q528" s="10"/>
      <c r="R528" s="10"/>
      <c r="S528" s="10"/>
      <c r="T528" s="10"/>
      <c r="U528" s="1">
        <f t="shared" si="32"/>
        <v>0</v>
      </c>
      <c r="V528" s="1">
        <f t="shared" si="33"/>
        <v>0</v>
      </c>
      <c r="W528" s="1">
        <f t="shared" si="34"/>
        <v>0</v>
      </c>
      <c r="X528" s="1">
        <f t="shared" si="35"/>
        <v>0</v>
      </c>
    </row>
    <row r="529" spans="2:24" x14ac:dyDescent="0.25">
      <c r="B529" s="11">
        <f>[1]code!B526</f>
        <v>545</v>
      </c>
      <c r="C529" s="2" t="str">
        <f>[1]code!C526</f>
        <v>فلفل حار هندي</v>
      </c>
      <c r="D529" s="2" t="str">
        <f>[1]code!D526</f>
        <v>خضار وفواكه المشربية</v>
      </c>
      <c r="E529" s="1" t="str">
        <f>[1]code!E526</f>
        <v>كيلو</v>
      </c>
      <c r="F529" s="2">
        <f>[1]code!F526</f>
        <v>0</v>
      </c>
      <c r="G529" s="12">
        <f>[1]code!G526</f>
        <v>0</v>
      </c>
      <c r="I529" s="10">
        <v>0</v>
      </c>
      <c r="J529" s="10">
        <v>0</v>
      </c>
      <c r="K529" s="10">
        <v>0</v>
      </c>
      <c r="L529" s="10">
        <v>0</v>
      </c>
      <c r="M529" s="10" t="str">
        <f>IFERROR(VLOOKUP($B529,[1]INV!$B$7:$H$2575,7,0),"")</f>
        <v/>
      </c>
      <c r="N529" s="10"/>
      <c r="O529" s="10"/>
      <c r="P529" s="10"/>
      <c r="Q529" s="10"/>
      <c r="R529" s="10"/>
      <c r="S529" s="10"/>
      <c r="T529" s="10"/>
      <c r="U529" s="1">
        <f t="shared" si="32"/>
        <v>0</v>
      </c>
      <c r="V529" s="1">
        <f t="shared" si="33"/>
        <v>0</v>
      </c>
      <c r="W529" s="1">
        <f t="shared" si="34"/>
        <v>0</v>
      </c>
      <c r="X529" s="1">
        <f t="shared" si="35"/>
        <v>0</v>
      </c>
    </row>
    <row r="530" spans="2:24" x14ac:dyDescent="0.25">
      <c r="B530" s="11">
        <f>[1]code!B527</f>
        <v>767</v>
      </c>
      <c r="C530" s="2" t="str">
        <f>[1]code!C527</f>
        <v>غطاء علب حلا م16</v>
      </c>
      <c r="D530" s="2" t="str">
        <f>[1]code!D527</f>
        <v>تعبئة و تغليف (باك ستريت)</v>
      </c>
      <c r="E530" s="1" t="str">
        <f>[1]code!E527</f>
        <v>حبة</v>
      </c>
      <c r="F530" s="2" t="str">
        <f>[1]code!F527</f>
        <v>هوت باك</v>
      </c>
      <c r="G530" s="12">
        <f>[1]code!G527</f>
        <v>0</v>
      </c>
      <c r="I530" s="10">
        <v>0</v>
      </c>
      <c r="J530" s="10">
        <v>0</v>
      </c>
      <c r="K530" s="10">
        <v>0</v>
      </c>
      <c r="L530" s="10">
        <v>0</v>
      </c>
      <c r="M530" s="10" t="str">
        <f>IFERROR(VLOOKUP($B530,[1]INV!$B$7:$H$2575,7,0),"")</f>
        <v/>
      </c>
      <c r="N530" s="10"/>
      <c r="O530" s="10"/>
      <c r="P530" s="10"/>
      <c r="Q530" s="10"/>
      <c r="R530" s="10"/>
      <c r="S530" s="10"/>
      <c r="T530" s="10"/>
      <c r="U530" s="1">
        <f t="shared" si="32"/>
        <v>0</v>
      </c>
      <c r="V530" s="1">
        <f t="shared" si="33"/>
        <v>0</v>
      </c>
      <c r="W530" s="1">
        <f t="shared" si="34"/>
        <v>0</v>
      </c>
      <c r="X530" s="1">
        <f t="shared" si="35"/>
        <v>0</v>
      </c>
    </row>
    <row r="531" spans="2:24" x14ac:dyDescent="0.25">
      <c r="B531" s="11">
        <f>[1]code!B528</f>
        <v>856</v>
      </c>
      <c r="C531" s="2" t="str">
        <f>[1]code!C528</f>
        <v>شحن</v>
      </c>
      <c r="D531" s="2" t="str">
        <f>[1]code!D528</f>
        <v>مصاريف نقل</v>
      </c>
      <c r="E531" s="1" t="str">
        <f>[1]code!E528</f>
        <v>حبة</v>
      </c>
      <c r="F531" s="2">
        <f>[1]code!F528</f>
        <v>0</v>
      </c>
      <c r="G531" s="12">
        <f>[1]code!G528</f>
        <v>0</v>
      </c>
      <c r="I531" s="10">
        <v>0</v>
      </c>
      <c r="J531" s="10">
        <v>0</v>
      </c>
      <c r="K531" s="10">
        <v>0</v>
      </c>
      <c r="L531" s="10">
        <v>0</v>
      </c>
      <c r="M531" s="10" t="str">
        <f>IFERROR(VLOOKUP($B531,[1]INV!$B$7:$H$2575,7,0),"")</f>
        <v/>
      </c>
      <c r="N531" s="10"/>
      <c r="O531" s="10"/>
      <c r="P531" s="10"/>
      <c r="Q531" s="10"/>
      <c r="R531" s="10"/>
      <c r="S531" s="10"/>
      <c r="T531" s="10"/>
      <c r="U531" s="1">
        <f t="shared" si="32"/>
        <v>0</v>
      </c>
      <c r="V531" s="1">
        <f t="shared" si="33"/>
        <v>0</v>
      </c>
      <c r="W531" s="1">
        <f t="shared" si="34"/>
        <v>0</v>
      </c>
      <c r="X531" s="1">
        <f t="shared" si="35"/>
        <v>0</v>
      </c>
    </row>
    <row r="532" spans="2:24" x14ac:dyDescent="0.25">
      <c r="B532" s="11">
        <f>[1]code!B529</f>
        <v>383</v>
      </c>
      <c r="C532" s="2" t="str">
        <f>[1]code!C529</f>
        <v>فشار البطل كراميل مملح - المشربية</v>
      </c>
      <c r="D532" s="2" t="str">
        <f>[1]code!D529</f>
        <v>مواد غذائية (المشربية)</v>
      </c>
      <c r="E532" s="1" t="str">
        <f>[1]code!E529</f>
        <v>كيس</v>
      </c>
      <c r="F532" s="2" t="str">
        <f>[1]code!F529</f>
        <v>مشتريات مباشرة</v>
      </c>
      <c r="G532" s="12">
        <f>[1]code!G529</f>
        <v>0</v>
      </c>
      <c r="I532" s="10">
        <v>0</v>
      </c>
      <c r="J532" s="10">
        <v>0</v>
      </c>
      <c r="K532" s="10">
        <v>0</v>
      </c>
      <c r="L532" s="10">
        <v>0</v>
      </c>
      <c r="M532" s="10" t="str">
        <f>IFERROR(VLOOKUP($B532,[1]INV!$B$7:$H$2575,7,0),"")</f>
        <v/>
      </c>
      <c r="N532" s="10"/>
      <c r="O532" s="10"/>
      <c r="P532" s="10"/>
      <c r="Q532" s="10"/>
      <c r="R532" s="10"/>
      <c r="S532" s="10"/>
      <c r="T532" s="10"/>
      <c r="U532" s="1">
        <f t="shared" si="32"/>
        <v>0</v>
      </c>
      <c r="V532" s="1">
        <f t="shared" si="33"/>
        <v>0</v>
      </c>
      <c r="W532" s="1">
        <f t="shared" si="34"/>
        <v>0</v>
      </c>
      <c r="X532" s="1">
        <f t="shared" si="35"/>
        <v>0</v>
      </c>
    </row>
    <row r="533" spans="2:24" x14ac:dyDescent="0.25">
      <c r="B533" s="11">
        <f>[1]code!B530</f>
        <v>857</v>
      </c>
      <c r="C533" s="2" t="str">
        <f>[1]code!C530</f>
        <v>لحمة بولر بليد بقر</v>
      </c>
      <c r="D533" s="2" t="str">
        <f>[1]code!D530</f>
        <v>لحوم باك ستريت</v>
      </c>
      <c r="E533" s="1" t="str">
        <f>[1]code!E530</f>
        <v>كيلو</v>
      </c>
      <c r="F533" s="2">
        <f>[1]code!F530</f>
        <v>0</v>
      </c>
      <c r="G533" s="12">
        <f>[1]code!G530</f>
        <v>0</v>
      </c>
      <c r="I533" s="10">
        <v>0</v>
      </c>
      <c r="J533" s="10">
        <v>0</v>
      </c>
      <c r="K533" s="10">
        <v>0</v>
      </c>
      <c r="L533" s="10">
        <v>0</v>
      </c>
      <c r="M533" s="10" t="str">
        <f>IFERROR(VLOOKUP($B533,[1]INV!$B$7:$H$2575,7,0),"")</f>
        <v/>
      </c>
      <c r="N533" s="10"/>
      <c r="O533" s="10"/>
      <c r="P533" s="10"/>
      <c r="Q533" s="10"/>
      <c r="R533" s="10"/>
      <c r="S533" s="10"/>
      <c r="T533" s="10"/>
      <c r="U533" s="1">
        <f t="shared" si="32"/>
        <v>0</v>
      </c>
      <c r="V533" s="1">
        <f t="shared" si="33"/>
        <v>0</v>
      </c>
      <c r="W533" s="1">
        <f t="shared" si="34"/>
        <v>0</v>
      </c>
      <c r="X533" s="1">
        <f t="shared" si="35"/>
        <v>0</v>
      </c>
    </row>
    <row r="534" spans="2:24" x14ac:dyDescent="0.25">
      <c r="B534" s="11">
        <f>[1]code!B531</f>
        <v>524</v>
      </c>
      <c r="C534" s="2" t="str">
        <f>[1]code!C531</f>
        <v>وجبة غذائية</v>
      </c>
      <c r="D534" s="2" t="str">
        <f>[1]code!D531</f>
        <v>وجبات اسطف</v>
      </c>
      <c r="E534" s="1" t="str">
        <f>[1]code!E531</f>
        <v>عدد</v>
      </c>
      <c r="F534" s="2">
        <f>[1]code!F531</f>
        <v>0</v>
      </c>
      <c r="G534" s="12">
        <f>[1]code!G531</f>
        <v>0</v>
      </c>
      <c r="I534" s="10">
        <v>0</v>
      </c>
      <c r="J534" s="10">
        <v>0</v>
      </c>
      <c r="K534" s="10">
        <v>0</v>
      </c>
      <c r="L534" s="10">
        <v>0</v>
      </c>
      <c r="M534" s="10" t="str">
        <f>IFERROR(VLOOKUP($B534,[1]INV!$B$7:$H$2575,7,0),"")</f>
        <v/>
      </c>
      <c r="N534" s="10"/>
      <c r="O534" s="10"/>
      <c r="P534" s="10"/>
      <c r="Q534" s="10"/>
      <c r="R534" s="10"/>
      <c r="S534" s="10"/>
      <c r="T534" s="10"/>
      <c r="U534" s="1">
        <f t="shared" si="32"/>
        <v>0</v>
      </c>
      <c r="V534" s="1">
        <f t="shared" si="33"/>
        <v>0</v>
      </c>
      <c r="W534" s="1">
        <f t="shared" si="34"/>
        <v>0</v>
      </c>
      <c r="X534" s="1">
        <f t="shared" si="35"/>
        <v>0</v>
      </c>
    </row>
    <row r="535" spans="2:24" x14ac:dyDescent="0.25">
      <c r="B535" s="11">
        <f>[1]code!B532</f>
        <v>859</v>
      </c>
      <c r="C535" s="2" t="str">
        <f>[1]code!C532</f>
        <v xml:space="preserve">ظرف ورق بني </v>
      </c>
      <c r="D535" s="2" t="str">
        <f>[1]code!D532</f>
        <v>تعبئة و تغليف (باك ستريت)</v>
      </c>
      <c r="E535" s="1" t="str">
        <f>[1]code!E532</f>
        <v>بكت</v>
      </c>
      <c r="F535" s="2" t="str">
        <f>[1]code!F532</f>
        <v>مشتريات مباشرة</v>
      </c>
      <c r="G535" s="12">
        <f>[1]code!G532</f>
        <v>0</v>
      </c>
      <c r="I535" s="10">
        <v>0</v>
      </c>
      <c r="J535" s="10">
        <v>0</v>
      </c>
      <c r="K535" s="10">
        <v>0</v>
      </c>
      <c r="L535" s="10">
        <v>0</v>
      </c>
      <c r="M535" s="10" t="str">
        <f>IFERROR(VLOOKUP($B535,[1]INV!$B$7:$H$2575,7,0),"")</f>
        <v/>
      </c>
      <c r="N535" s="10"/>
      <c r="O535" s="10"/>
      <c r="P535" s="10"/>
      <c r="Q535" s="10"/>
      <c r="R535" s="10"/>
      <c r="S535" s="10"/>
      <c r="T535" s="10"/>
      <c r="U535" s="1">
        <f t="shared" si="32"/>
        <v>0</v>
      </c>
      <c r="V535" s="1">
        <f t="shared" si="33"/>
        <v>0</v>
      </c>
      <c r="W535" s="1">
        <f t="shared" si="34"/>
        <v>0</v>
      </c>
      <c r="X535" s="1">
        <f t="shared" si="35"/>
        <v>0</v>
      </c>
    </row>
    <row r="536" spans="2:24" x14ac:dyDescent="0.25">
      <c r="B536" s="11">
        <f>[1]code!B533</f>
        <v>358</v>
      </c>
      <c r="C536" s="2" t="str">
        <f>[1]code!C533</f>
        <v>حجر شيشة - المشربية</v>
      </c>
      <c r="D536" s="2" t="str">
        <f>[1]code!D533</f>
        <v>المشربية</v>
      </c>
      <c r="E536" s="1" t="str">
        <f>[1]code!E533</f>
        <v>حبة</v>
      </c>
      <c r="F536" s="2">
        <f>[1]code!F533</f>
        <v>0</v>
      </c>
      <c r="G536" s="12">
        <f>[1]code!G533</f>
        <v>0</v>
      </c>
      <c r="I536" s="10">
        <v>0</v>
      </c>
      <c r="J536" s="10">
        <v>0</v>
      </c>
      <c r="K536" s="10">
        <v>0</v>
      </c>
      <c r="L536" s="10">
        <v>0</v>
      </c>
      <c r="M536" s="10" t="str">
        <f>IFERROR(VLOOKUP($B536,[1]INV!$B$7:$H$2575,7,0),"")</f>
        <v/>
      </c>
      <c r="N536" s="10"/>
      <c r="O536" s="10"/>
      <c r="P536" s="10"/>
      <c r="Q536" s="10"/>
      <c r="R536" s="10"/>
      <c r="S536" s="10"/>
      <c r="T536" s="10"/>
      <c r="U536" s="1">
        <f t="shared" si="32"/>
        <v>0</v>
      </c>
      <c r="V536" s="1">
        <f t="shared" si="33"/>
        <v>0</v>
      </c>
      <c r="W536" s="1">
        <f t="shared" si="34"/>
        <v>0</v>
      </c>
      <c r="X536" s="1">
        <f t="shared" si="35"/>
        <v>0</v>
      </c>
    </row>
    <row r="537" spans="2:24" x14ac:dyDescent="0.25">
      <c r="B537" s="11">
        <f>[1]code!B534</f>
        <v>694</v>
      </c>
      <c r="C537" s="2" t="str">
        <f>[1]code!C534</f>
        <v xml:space="preserve">لحمه ريب أي </v>
      </c>
      <c r="D537" s="2" t="str">
        <f>[1]code!D534</f>
        <v>لحوم باك ستريت</v>
      </c>
      <c r="E537" s="1" t="str">
        <f>[1]code!E534</f>
        <v>كيلو</v>
      </c>
      <c r="F537" s="2" t="str">
        <f>[1]code!F534</f>
        <v>اللحمة الذهبية</v>
      </c>
      <c r="G537" s="12">
        <f>[1]code!G534</f>
        <v>149.5</v>
      </c>
      <c r="I537" s="10">
        <v>0</v>
      </c>
      <c r="J537" s="10">
        <v>0</v>
      </c>
      <c r="K537" s="10">
        <v>0</v>
      </c>
      <c r="L537" s="10">
        <v>149.5</v>
      </c>
      <c r="M537" s="10" t="str">
        <f>IFERROR(VLOOKUP($B537,[1]INV!$B$7:$H$2575,7,0),"")</f>
        <v/>
      </c>
      <c r="N537" s="10"/>
      <c r="O537" s="10"/>
      <c r="P537" s="10"/>
      <c r="Q537" s="10"/>
      <c r="R537" s="10"/>
      <c r="S537" s="10"/>
      <c r="T537" s="10"/>
      <c r="U537" s="1">
        <f t="shared" si="32"/>
        <v>0</v>
      </c>
      <c r="V537" s="1">
        <f t="shared" si="33"/>
        <v>0</v>
      </c>
      <c r="W537" s="1">
        <f t="shared" si="34"/>
        <v>0</v>
      </c>
      <c r="X537" s="1">
        <f t="shared" si="35"/>
        <v>149.5</v>
      </c>
    </row>
    <row r="538" spans="2:24" x14ac:dyDescent="0.25">
      <c r="B538" s="11">
        <f>[1]code!B535</f>
        <v>827</v>
      </c>
      <c r="C538" s="2" t="str">
        <f>[1]code!C535</f>
        <v>سيراتشا</v>
      </c>
      <c r="D538" s="2" t="str">
        <f>[1]code!D535</f>
        <v>تعبئة و تغليف (باك ستريت)</v>
      </c>
      <c r="E538" s="1" t="str">
        <f>[1]code!E535</f>
        <v>كيلو</v>
      </c>
      <c r="F538" s="2" t="str">
        <f>[1]code!F535</f>
        <v>تموين الشرق - فريشلي</v>
      </c>
      <c r="G538" s="12">
        <f>[1]code!G535</f>
        <v>0</v>
      </c>
      <c r="I538" s="10">
        <v>0</v>
      </c>
      <c r="J538" s="10">
        <v>0</v>
      </c>
      <c r="K538" s="10">
        <v>0</v>
      </c>
      <c r="L538" s="10">
        <v>0</v>
      </c>
      <c r="M538" s="10" t="str">
        <f>IFERROR(VLOOKUP($B538,[1]INV!$B$7:$H$2575,7,0),"")</f>
        <v/>
      </c>
      <c r="N538" s="10"/>
      <c r="O538" s="10"/>
      <c r="P538" s="10"/>
      <c r="Q538" s="10"/>
      <c r="R538" s="10"/>
      <c r="S538" s="10"/>
      <c r="T538" s="10"/>
      <c r="U538" s="1">
        <f t="shared" si="32"/>
        <v>0</v>
      </c>
      <c r="V538" s="1">
        <f t="shared" si="33"/>
        <v>0</v>
      </c>
      <c r="W538" s="1">
        <f t="shared" si="34"/>
        <v>0</v>
      </c>
      <c r="X538" s="1">
        <f t="shared" si="35"/>
        <v>0</v>
      </c>
    </row>
    <row r="539" spans="2:24" x14ac:dyDescent="0.25">
      <c r="B539" s="11">
        <f>[1]code!B536</f>
        <v>860</v>
      </c>
      <c r="C539" s="2" t="str">
        <f>[1]code!C536</f>
        <v>بوكسات وجبات الاطفال</v>
      </c>
      <c r="D539" s="2" t="str">
        <f>[1]code!D536</f>
        <v>تعبئة وتغليف (طحينة)</v>
      </c>
      <c r="E539" s="1" t="str">
        <f>[1]code!E536</f>
        <v>حبة</v>
      </c>
      <c r="F539" s="2">
        <f>[1]code!F536</f>
        <v>0</v>
      </c>
      <c r="G539" s="12">
        <f>[1]code!G536</f>
        <v>0</v>
      </c>
      <c r="I539" s="10">
        <v>0</v>
      </c>
      <c r="J539" s="10">
        <v>0</v>
      </c>
      <c r="K539" s="10">
        <v>0</v>
      </c>
      <c r="L539" s="10">
        <v>0</v>
      </c>
      <c r="M539" s="10" t="str">
        <f>IFERROR(VLOOKUP($B539,[1]INV!$B$7:$H$2575,7,0),"")</f>
        <v/>
      </c>
      <c r="N539" s="10"/>
      <c r="O539" s="10"/>
      <c r="P539" s="10"/>
      <c r="Q539" s="10"/>
      <c r="R539" s="10"/>
      <c r="S539" s="10"/>
      <c r="T539" s="10"/>
      <c r="U539" s="1">
        <f t="shared" si="32"/>
        <v>0</v>
      </c>
      <c r="V539" s="1">
        <f t="shared" si="33"/>
        <v>0</v>
      </c>
      <c r="W539" s="1">
        <f t="shared" si="34"/>
        <v>0</v>
      </c>
      <c r="X539" s="1">
        <f t="shared" si="35"/>
        <v>0</v>
      </c>
    </row>
    <row r="540" spans="2:24" x14ac:dyDescent="0.25">
      <c r="B540" s="11">
        <f>[1]code!B537</f>
        <v>861</v>
      </c>
      <c r="C540" s="2" t="str">
        <f>[1]code!C537</f>
        <v>بوكس سحاب كلبز</v>
      </c>
      <c r="D540" s="2" t="str">
        <f>[1]code!D537</f>
        <v>تعبئة وتغليف (طحينة)</v>
      </c>
      <c r="E540" s="1" t="str">
        <f>[1]code!E537</f>
        <v>حبة</v>
      </c>
      <c r="F540" s="2">
        <f>[1]code!F537</f>
        <v>0</v>
      </c>
      <c r="G540" s="12">
        <f>[1]code!G537</f>
        <v>0</v>
      </c>
      <c r="I540" s="10">
        <v>0</v>
      </c>
      <c r="J540" s="10">
        <v>0</v>
      </c>
      <c r="K540" s="10">
        <v>0</v>
      </c>
      <c r="L540" s="10">
        <v>0</v>
      </c>
      <c r="M540" s="10" t="str">
        <f>IFERROR(VLOOKUP($B540,[1]INV!$B$7:$H$2575,7,0),"")</f>
        <v/>
      </c>
      <c r="N540" s="10"/>
      <c r="O540" s="10"/>
      <c r="P540" s="10"/>
      <c r="Q540" s="10"/>
      <c r="R540" s="10"/>
      <c r="S540" s="10"/>
      <c r="T540" s="10"/>
      <c r="U540" s="1">
        <f t="shared" si="32"/>
        <v>0</v>
      </c>
      <c r="V540" s="1">
        <f t="shared" si="33"/>
        <v>0</v>
      </c>
      <c r="W540" s="1">
        <f t="shared" si="34"/>
        <v>0</v>
      </c>
      <c r="X540" s="1">
        <f t="shared" si="35"/>
        <v>0</v>
      </c>
    </row>
    <row r="541" spans="2:24" x14ac:dyDescent="0.25">
      <c r="B541" s="11">
        <f>[1]code!B538</f>
        <v>862</v>
      </c>
      <c r="C541" s="2" t="str">
        <f>[1]code!C538</f>
        <v>مناديل سفرة مطبوع ليالي حليم</v>
      </c>
      <c r="D541" s="2" t="str">
        <f>[1]code!D538</f>
        <v>مطبوعات (ليالي حليم)</v>
      </c>
      <c r="E541" s="1" t="str">
        <f>[1]code!E538</f>
        <v>حبة</v>
      </c>
      <c r="F541" s="2">
        <f>[1]code!F538</f>
        <v>0</v>
      </c>
      <c r="G541" s="12">
        <f>[1]code!G538</f>
        <v>0</v>
      </c>
      <c r="I541" s="10">
        <v>0</v>
      </c>
      <c r="J541" s="10">
        <v>0</v>
      </c>
      <c r="K541" s="10">
        <v>0</v>
      </c>
      <c r="L541" s="10">
        <v>0</v>
      </c>
      <c r="M541" s="10" t="str">
        <f>IFERROR(VLOOKUP($B541,[1]INV!$B$7:$H$2575,7,0),"")</f>
        <v/>
      </c>
      <c r="N541" s="10"/>
      <c r="O541" s="10"/>
      <c r="P541" s="10"/>
      <c r="Q541" s="10"/>
      <c r="R541" s="10"/>
      <c r="S541" s="10"/>
      <c r="T541" s="10"/>
      <c r="U541" s="1">
        <f t="shared" si="32"/>
        <v>0</v>
      </c>
      <c r="V541" s="1">
        <f t="shared" si="33"/>
        <v>0</v>
      </c>
      <c r="W541" s="1">
        <f t="shared" si="34"/>
        <v>0</v>
      </c>
      <c r="X541" s="1">
        <f t="shared" si="35"/>
        <v>0</v>
      </c>
    </row>
    <row r="542" spans="2:24" x14ac:dyDescent="0.25">
      <c r="B542" s="11">
        <f>[1]code!B539</f>
        <v>863</v>
      </c>
      <c r="C542" s="2" t="str">
        <f>[1]code!C539</f>
        <v>مناديل معطرة مطبوعة ليالي حليم</v>
      </c>
      <c r="D542" s="2" t="str">
        <f>[1]code!D539</f>
        <v>مطبوعات (ليالي حليم)</v>
      </c>
      <c r="E542" s="1" t="str">
        <f>[1]code!E539</f>
        <v>حبة</v>
      </c>
      <c r="F542" s="2">
        <f>[1]code!F539</f>
        <v>0</v>
      </c>
      <c r="G542" s="12">
        <f>[1]code!G539</f>
        <v>0</v>
      </c>
      <c r="I542" s="10">
        <v>0</v>
      </c>
      <c r="J542" s="10">
        <v>0</v>
      </c>
      <c r="K542" s="10">
        <v>0</v>
      </c>
      <c r="L542" s="10">
        <v>0</v>
      </c>
      <c r="M542" s="10" t="str">
        <f>IFERROR(VLOOKUP($B542,[1]INV!$B$7:$H$2575,7,0),"")</f>
        <v/>
      </c>
      <c r="N542" s="10"/>
      <c r="O542" s="10"/>
      <c r="P542" s="10"/>
      <c r="Q542" s="10"/>
      <c r="R542" s="10"/>
      <c r="S542" s="10"/>
      <c r="T542" s="10"/>
      <c r="U542" s="1">
        <f t="shared" si="32"/>
        <v>0</v>
      </c>
      <c r="V542" s="1">
        <f t="shared" si="33"/>
        <v>0</v>
      </c>
      <c r="W542" s="1">
        <f t="shared" si="34"/>
        <v>0</v>
      </c>
      <c r="X542" s="1">
        <f t="shared" si="35"/>
        <v>0</v>
      </c>
    </row>
    <row r="543" spans="2:24" x14ac:dyDescent="0.25">
      <c r="B543" s="11">
        <f>[1]code!B540</f>
        <v>864</v>
      </c>
      <c r="C543" s="2" t="str">
        <f>[1]code!C540</f>
        <v>كليشة مناديل معطرة ليالي حليم</v>
      </c>
      <c r="D543" s="2" t="str">
        <f>[1]code!D540</f>
        <v>مطبوعات (ليالي حليم)</v>
      </c>
      <c r="E543" s="1" t="str">
        <f>[1]code!E540</f>
        <v>حبة</v>
      </c>
      <c r="F543" s="2">
        <f>[1]code!F540</f>
        <v>0</v>
      </c>
      <c r="G543" s="12">
        <f>[1]code!G540</f>
        <v>0</v>
      </c>
      <c r="I543" s="10">
        <v>0</v>
      </c>
      <c r="J543" s="10">
        <v>0</v>
      </c>
      <c r="K543" s="10">
        <v>0</v>
      </c>
      <c r="L543" s="10">
        <v>0</v>
      </c>
      <c r="M543" s="10" t="str">
        <f>IFERROR(VLOOKUP($B543,[1]INV!$B$7:$H$2575,7,0),"")</f>
        <v/>
      </c>
      <c r="N543" s="10"/>
      <c r="O543" s="10"/>
      <c r="P543" s="10"/>
      <c r="Q543" s="10"/>
      <c r="R543" s="10"/>
      <c r="S543" s="10"/>
      <c r="T543" s="10"/>
      <c r="U543" s="1">
        <f t="shared" si="32"/>
        <v>0</v>
      </c>
      <c r="V543" s="1">
        <f t="shared" si="33"/>
        <v>0</v>
      </c>
      <c r="W543" s="1">
        <f t="shared" si="34"/>
        <v>0</v>
      </c>
      <c r="X543" s="1">
        <f t="shared" si="35"/>
        <v>0</v>
      </c>
    </row>
    <row r="544" spans="2:24" x14ac:dyDescent="0.25">
      <c r="B544" s="11">
        <f>[1]code!B541</f>
        <v>731</v>
      </c>
      <c r="C544" s="2" t="str">
        <f>[1]code!C541</f>
        <v>أكياس نفايات 20 - باك ستريت</v>
      </c>
      <c r="D544" s="2" t="str">
        <f>[1]code!D541</f>
        <v>تعبئة و تغليف (باك ستريت)</v>
      </c>
      <c r="E544" s="1" t="str">
        <f>[1]code!E541</f>
        <v>كيلو</v>
      </c>
      <c r="F544" s="2" t="str">
        <f>[1]code!F541</f>
        <v>الظاهرى</v>
      </c>
      <c r="G544" s="12">
        <f>[1]code!G541</f>
        <v>0</v>
      </c>
      <c r="I544" s="10">
        <v>0</v>
      </c>
      <c r="J544" s="10">
        <v>0</v>
      </c>
      <c r="K544" s="10">
        <v>0</v>
      </c>
      <c r="L544" s="10">
        <v>0</v>
      </c>
      <c r="M544" s="10" t="str">
        <f>IFERROR(VLOOKUP($B544,[1]INV!$B$7:$H$2575,7,0),"")</f>
        <v/>
      </c>
      <c r="N544" s="10"/>
      <c r="O544" s="10"/>
      <c r="P544" s="10"/>
      <c r="Q544" s="10"/>
      <c r="R544" s="10"/>
      <c r="S544" s="10"/>
      <c r="T544" s="10"/>
      <c r="U544" s="1">
        <f t="shared" si="32"/>
        <v>0</v>
      </c>
      <c r="V544" s="1">
        <f t="shared" si="33"/>
        <v>0</v>
      </c>
      <c r="W544" s="1">
        <f t="shared" si="34"/>
        <v>0</v>
      </c>
      <c r="X544" s="1">
        <f t="shared" si="35"/>
        <v>0</v>
      </c>
    </row>
    <row r="545" spans="2:24" x14ac:dyDescent="0.25">
      <c r="B545" s="11">
        <f>[1]code!B542</f>
        <v>884</v>
      </c>
      <c r="C545" s="2" t="str">
        <f>[1]code!C542</f>
        <v>سكر مكعبات ابيض</v>
      </c>
      <c r="D545" s="2" t="str">
        <f>[1]code!D542</f>
        <v>مواد غذائية (ليالي حليم)</v>
      </c>
      <c r="E545" s="1" t="str">
        <f>[1]code!E542</f>
        <v>بكت</v>
      </c>
      <c r="F545" s="2" t="str">
        <f>[1]code!F542</f>
        <v>مشتريات مباشرة</v>
      </c>
      <c r="G545" s="12">
        <f>[1]code!G542</f>
        <v>11.249974137931035</v>
      </c>
      <c r="I545" s="10">
        <v>11.249974137931035</v>
      </c>
      <c r="J545" s="10">
        <v>10.78125</v>
      </c>
      <c r="K545" s="10">
        <v>10.813233529411765</v>
      </c>
      <c r="L545" s="10">
        <v>10.78125</v>
      </c>
      <c r="M545" s="10" t="str">
        <f>IFERROR(VLOOKUP($B545,[1]INV!$B$7:$H$2575,7,0),"")</f>
        <v/>
      </c>
      <c r="N545" s="10"/>
      <c r="O545" s="10"/>
      <c r="P545" s="10"/>
      <c r="Q545" s="10"/>
      <c r="R545" s="10"/>
      <c r="S545" s="10"/>
      <c r="T545" s="10"/>
      <c r="U545" s="1">
        <f t="shared" si="32"/>
        <v>11.249974137931035</v>
      </c>
      <c r="V545" s="1">
        <f t="shared" si="33"/>
        <v>10.78125</v>
      </c>
      <c r="W545" s="1">
        <f t="shared" si="34"/>
        <v>10.813233529411765</v>
      </c>
      <c r="X545" s="1">
        <f t="shared" si="35"/>
        <v>10.78125</v>
      </c>
    </row>
    <row r="546" spans="2:24" x14ac:dyDescent="0.25">
      <c r="B546" s="11">
        <f>[1]code!B543</f>
        <v>886</v>
      </c>
      <c r="C546" s="2" t="str">
        <f>[1]code!C543</f>
        <v>شاي Ahmed Tea</v>
      </c>
      <c r="D546" s="2" t="str">
        <f>[1]code!D543</f>
        <v>مواد غذائية (ليالي حليم)</v>
      </c>
      <c r="E546" s="1" t="str">
        <f>[1]code!E543</f>
        <v>حبة</v>
      </c>
      <c r="F546" s="2" t="str">
        <f>[1]code!F543</f>
        <v>مشتريات مباشرة</v>
      </c>
      <c r="G546" s="12">
        <f>[1]code!G543</f>
        <v>0.15999949999999999</v>
      </c>
      <c r="I546" s="10">
        <v>0.15999949999999999</v>
      </c>
      <c r="J546" s="10">
        <v>0.15999949999999999</v>
      </c>
      <c r="K546" s="10">
        <v>0.15999949999999999</v>
      </c>
      <c r="L546" s="10">
        <v>0.15999949999999999</v>
      </c>
      <c r="M546" s="10" t="str">
        <f>IFERROR(VLOOKUP($B546,[1]INV!$B$7:$H$2575,7,0),"")</f>
        <v/>
      </c>
      <c r="N546" s="10"/>
      <c r="O546" s="10"/>
      <c r="P546" s="10"/>
      <c r="Q546" s="10"/>
      <c r="R546" s="10"/>
      <c r="S546" s="10"/>
      <c r="T546" s="10"/>
      <c r="U546" s="1">
        <f t="shared" si="32"/>
        <v>0.15999949999999999</v>
      </c>
      <c r="V546" s="1">
        <f t="shared" si="33"/>
        <v>0.15999949999999999</v>
      </c>
      <c r="W546" s="1">
        <f t="shared" si="34"/>
        <v>0.15999949999999999</v>
      </c>
      <c r="X546" s="1">
        <f t="shared" si="35"/>
        <v>0.15999949999999999</v>
      </c>
    </row>
    <row r="547" spans="2:24" x14ac:dyDescent="0.25">
      <c r="B547" s="11">
        <f>[1]code!B544</f>
        <v>869</v>
      </c>
      <c r="C547" s="2" t="str">
        <f>[1]code!C544</f>
        <v>مياة نوفا</v>
      </c>
      <c r="D547" s="2" t="str">
        <f>[1]code!D544</f>
        <v>مواد غذائية (ليالي حليم)</v>
      </c>
      <c r="E547" s="1" t="str">
        <f>[1]code!E544</f>
        <v>لتر</v>
      </c>
      <c r="F547" s="2" t="str">
        <f>[1]code!F544</f>
        <v>مشتريات مباشرة</v>
      </c>
      <c r="G547" s="12">
        <f>[1]code!G544</f>
        <v>0.63789546807896835</v>
      </c>
      <c r="I547" s="10">
        <v>0.63789546807896835</v>
      </c>
      <c r="J547" s="10">
        <v>0.59330799999999995</v>
      </c>
      <c r="K547" s="10">
        <v>0.59321599999999997</v>
      </c>
      <c r="L547" s="10">
        <v>0.59321599999999997</v>
      </c>
      <c r="M547" s="10">
        <f>IFERROR(VLOOKUP($B547,[1]INV!$B$7:$H$2575,7,0),"")</f>
        <v>0.59320641666666662</v>
      </c>
      <c r="N547" s="10"/>
      <c r="O547" s="10"/>
      <c r="P547" s="10"/>
      <c r="Q547" s="10"/>
      <c r="R547" s="10"/>
      <c r="S547" s="10"/>
      <c r="T547" s="10"/>
      <c r="U547" s="1">
        <f t="shared" si="32"/>
        <v>0.63789546807896835</v>
      </c>
      <c r="V547" s="1">
        <f t="shared" si="33"/>
        <v>0.59330799999999995</v>
      </c>
      <c r="W547" s="1">
        <f t="shared" si="34"/>
        <v>0.59321599999999997</v>
      </c>
      <c r="X547" s="1">
        <f t="shared" si="35"/>
        <v>0.59321599999999997</v>
      </c>
    </row>
    <row r="548" spans="2:24" x14ac:dyDescent="0.25">
      <c r="B548" s="11">
        <f>[1]code!B545</f>
        <v>874</v>
      </c>
      <c r="C548" s="2" t="str">
        <f>[1]code!C545</f>
        <v>سفن اب علب</v>
      </c>
      <c r="D548" s="2" t="str">
        <f>[1]code!D545</f>
        <v>المشروبات (ليالي حليم)</v>
      </c>
      <c r="E548" s="1" t="str">
        <f>[1]code!E545</f>
        <v>حبة</v>
      </c>
      <c r="F548" s="2" t="str">
        <f>[1]code!F545</f>
        <v>مشتريات مباشرة</v>
      </c>
      <c r="G548" s="12">
        <f>[1]code!G545</f>
        <v>2.7740896028571429</v>
      </c>
      <c r="I548" s="10">
        <v>2.7740896028571429</v>
      </c>
      <c r="J548" s="10">
        <v>2.7740896028571429</v>
      </c>
      <c r="K548" s="10">
        <v>2.7877149999999999</v>
      </c>
      <c r="L548" s="10">
        <v>2.7877149999999999</v>
      </c>
      <c r="M548" s="10" t="str">
        <f>IFERROR(VLOOKUP($B548,[1]INV!$B$7:$H$2575,7,0),"")</f>
        <v/>
      </c>
      <c r="N548" s="10"/>
      <c r="O548" s="10"/>
      <c r="P548" s="10"/>
      <c r="Q548" s="10"/>
      <c r="R548" s="10"/>
      <c r="S548" s="10"/>
      <c r="T548" s="10"/>
      <c r="U548" s="1">
        <f t="shared" si="32"/>
        <v>2.7740896028571429</v>
      </c>
      <c r="V548" s="1">
        <f t="shared" si="33"/>
        <v>2.7740896028571429</v>
      </c>
      <c r="W548" s="1">
        <f t="shared" si="34"/>
        <v>2.7877149999999999</v>
      </c>
      <c r="X548" s="1">
        <f t="shared" si="35"/>
        <v>2.7877149999999999</v>
      </c>
    </row>
    <row r="549" spans="2:24" x14ac:dyDescent="0.25">
      <c r="B549" s="11">
        <f>[1]code!B546</f>
        <v>866</v>
      </c>
      <c r="C549" s="2" t="str">
        <f>[1]code!C546</f>
        <v>مواد غذائية ليالي حليم</v>
      </c>
      <c r="D549" s="2" t="str">
        <f>[1]code!D546</f>
        <v>مواد غذائية (ليالي حليم)</v>
      </c>
      <c r="E549" s="1" t="str">
        <f>[1]code!E546</f>
        <v>حبة</v>
      </c>
      <c r="F549" s="2" t="str">
        <f>[1]code!F546</f>
        <v>مشتريات مباشرة</v>
      </c>
      <c r="G549" s="12">
        <f>[1]code!G546</f>
        <v>9.9590000000000014</v>
      </c>
      <c r="I549" s="10">
        <v>9.9590000000000014</v>
      </c>
      <c r="J549" s="10">
        <v>9.9590000000000014</v>
      </c>
      <c r="K549" s="10">
        <v>9.9590000000000014</v>
      </c>
      <c r="L549" s="10">
        <v>9.9590000000000014</v>
      </c>
      <c r="M549" s="10" t="str">
        <f>IFERROR(VLOOKUP($B549,[1]INV!$B$7:$H$2575,7,0),"")</f>
        <v/>
      </c>
      <c r="N549" s="10"/>
      <c r="O549" s="10"/>
      <c r="P549" s="10"/>
      <c r="Q549" s="10"/>
      <c r="R549" s="10"/>
      <c r="S549" s="10"/>
      <c r="T549" s="10"/>
      <c r="U549" s="1">
        <f t="shared" si="32"/>
        <v>9.9590000000000014</v>
      </c>
      <c r="V549" s="1">
        <f t="shared" si="33"/>
        <v>9.9590000000000014</v>
      </c>
      <c r="W549" s="1">
        <f t="shared" si="34"/>
        <v>9.9590000000000014</v>
      </c>
      <c r="X549" s="1">
        <f t="shared" si="35"/>
        <v>9.9590000000000014</v>
      </c>
    </row>
    <row r="550" spans="2:24" x14ac:dyDescent="0.25">
      <c r="B550" s="11">
        <f>[1]code!B547</f>
        <v>872</v>
      </c>
      <c r="C550" s="2" t="str">
        <f>[1]code!C547</f>
        <v>حبق مجفف</v>
      </c>
      <c r="D550" s="2" t="str">
        <f>[1]code!D547</f>
        <v>مواد غذائية (ليالي حليم)</v>
      </c>
      <c r="E550" s="1" t="str">
        <f>[1]code!E547</f>
        <v>كيلو</v>
      </c>
      <c r="F550" s="2" t="str">
        <f>[1]code!F547</f>
        <v>مشتريات مباشرة</v>
      </c>
      <c r="G550" s="12">
        <f>[1]code!G547</f>
        <v>311.53772019230769</v>
      </c>
      <c r="I550" s="10">
        <v>311.53772019230769</v>
      </c>
      <c r="J550" s="10">
        <v>311.53772019230769</v>
      </c>
      <c r="K550" s="10">
        <v>239.58295000000001</v>
      </c>
      <c r="L550" s="10">
        <v>239.58295000000001</v>
      </c>
      <c r="M550" s="10" t="str">
        <f>IFERROR(VLOOKUP($B550,[1]INV!$B$7:$H$2575,7,0),"")</f>
        <v/>
      </c>
      <c r="N550" s="10"/>
      <c r="O550" s="10"/>
      <c r="P550" s="10"/>
      <c r="Q550" s="10"/>
      <c r="R550" s="10"/>
      <c r="S550" s="10"/>
      <c r="T550" s="10"/>
      <c r="U550" s="1">
        <f t="shared" si="32"/>
        <v>311.53772019230769</v>
      </c>
      <c r="V550" s="1">
        <f t="shared" si="33"/>
        <v>311.53772019230769</v>
      </c>
      <c r="W550" s="1">
        <f t="shared" si="34"/>
        <v>239.58295000000001</v>
      </c>
      <c r="X550" s="1">
        <f t="shared" si="35"/>
        <v>239.58295000000001</v>
      </c>
    </row>
    <row r="551" spans="2:24" x14ac:dyDescent="0.25">
      <c r="B551" s="11">
        <f>[1]code!B548</f>
        <v>870</v>
      </c>
      <c r="C551" s="2" t="str">
        <f>[1]code!C548</f>
        <v>حليب طازج نادك</v>
      </c>
      <c r="D551" s="2" t="str">
        <f>[1]code!D548</f>
        <v>مواد غذائية (ليالي حليم)</v>
      </c>
      <c r="E551" s="1" t="str">
        <f>[1]code!E548</f>
        <v>لتر</v>
      </c>
      <c r="F551" s="2" t="str">
        <f>[1]code!F548</f>
        <v>مشتريات مباشرة</v>
      </c>
      <c r="G551" s="12">
        <f>[1]code!G548</f>
        <v>5.0422488175675682</v>
      </c>
      <c r="I551" s="10">
        <v>5.0422488175675682</v>
      </c>
      <c r="J551" s="10">
        <v>4.7758918030303033</v>
      </c>
      <c r="K551" s="10">
        <v>4.8407406849315064</v>
      </c>
      <c r="L551" s="10">
        <v>4.7597869863013695</v>
      </c>
      <c r="M551" s="10">
        <f>IFERROR(VLOOKUP($B551,[1]INV!$B$7:$H$2575,7,0),"")</f>
        <v>5.5826540909090907</v>
      </c>
      <c r="N551" s="10"/>
      <c r="O551" s="10"/>
      <c r="P551" s="10"/>
      <c r="Q551" s="10"/>
      <c r="R551" s="10"/>
      <c r="S551" s="10"/>
      <c r="T551" s="10"/>
      <c r="U551" s="1">
        <f t="shared" si="32"/>
        <v>5.0422488175675682</v>
      </c>
      <c r="V551" s="1">
        <f t="shared" si="33"/>
        <v>4.7758918030303033</v>
      </c>
      <c r="W551" s="1">
        <f t="shared" si="34"/>
        <v>4.8407406849315064</v>
      </c>
      <c r="X551" s="1">
        <f t="shared" si="35"/>
        <v>4.7597869863013695</v>
      </c>
    </row>
    <row r="552" spans="2:24" x14ac:dyDescent="0.25">
      <c r="B552" s="11">
        <f>[1]code!B549</f>
        <v>534</v>
      </c>
      <c r="C552" s="2" t="str">
        <f>[1]code!C549</f>
        <v>جبنة بوك كريمي</v>
      </c>
      <c r="D552" s="2" t="str">
        <f>[1]code!D549</f>
        <v>مواد غذائية (ليالي حليم)</v>
      </c>
      <c r="E552" s="1" t="str">
        <f>[1]code!E549</f>
        <v>كيلو</v>
      </c>
      <c r="F552" s="2" t="str">
        <f>[1]code!F549</f>
        <v>مشتريات مباشرة</v>
      </c>
      <c r="G552" s="12">
        <f>[1]code!G549</f>
        <v>19.8996</v>
      </c>
      <c r="I552" s="10">
        <v>19.8996</v>
      </c>
      <c r="J552" s="10">
        <v>19.8996</v>
      </c>
      <c r="K552" s="10">
        <v>19.8996</v>
      </c>
      <c r="L552" s="10">
        <v>19.8996</v>
      </c>
      <c r="M552" s="10" t="str">
        <f>IFERROR(VLOOKUP($B552,[1]INV!$B$7:$H$2575,7,0),"")</f>
        <v/>
      </c>
      <c r="N552" s="10"/>
      <c r="O552" s="10"/>
      <c r="P552" s="10"/>
      <c r="Q552" s="10"/>
      <c r="R552" s="10"/>
      <c r="S552" s="10"/>
      <c r="T552" s="10"/>
      <c r="U552" s="1">
        <f t="shared" si="32"/>
        <v>19.8996</v>
      </c>
      <c r="V552" s="1">
        <f t="shared" si="33"/>
        <v>19.8996</v>
      </c>
      <c r="W552" s="1">
        <f t="shared" si="34"/>
        <v>19.8996</v>
      </c>
      <c r="X552" s="1">
        <f t="shared" si="35"/>
        <v>19.8996</v>
      </c>
    </row>
    <row r="553" spans="2:24" x14ac:dyDescent="0.25">
      <c r="B553" s="11">
        <f>[1]code!B550</f>
        <v>889</v>
      </c>
      <c r="C553" s="2" t="str">
        <f>[1]code!C550</f>
        <v>معسل كوكتيل250 جرام</v>
      </c>
      <c r="D553" s="2" t="str">
        <f>[1]code!D550</f>
        <v>الشيشة</v>
      </c>
      <c r="E553" s="1" t="str">
        <f>[1]code!E550</f>
        <v>بكت</v>
      </c>
      <c r="F553" s="2" t="str">
        <f>[1]code!F550</f>
        <v>مشتريات مباشرة</v>
      </c>
      <c r="G553" s="12">
        <f>[1]code!G550</f>
        <v>70</v>
      </c>
      <c r="I553" s="10">
        <v>131.66618333333335</v>
      </c>
      <c r="J553" s="10">
        <v>135.000225</v>
      </c>
      <c r="K553" s="10">
        <v>137.27549999999999</v>
      </c>
      <c r="L553" s="10">
        <v>89.647559999999999</v>
      </c>
      <c r="M553" s="10">
        <f>IFERROR(VLOOKUP($B553,[1]INV!$B$7:$H$2575,7,0),"")</f>
        <v>64.375131249999995</v>
      </c>
      <c r="N553" s="10"/>
      <c r="O553" s="10"/>
      <c r="P553" s="10"/>
      <c r="Q553" s="10"/>
      <c r="R553" s="10"/>
      <c r="S553" s="10"/>
      <c r="T553" s="10"/>
      <c r="U553" s="1">
        <f t="shared" si="32"/>
        <v>131.66618333333335</v>
      </c>
      <c r="V553" s="1">
        <f t="shared" si="33"/>
        <v>135.000225</v>
      </c>
      <c r="W553" s="1">
        <f t="shared" si="34"/>
        <v>137.27549999999999</v>
      </c>
      <c r="X553" s="1">
        <f t="shared" si="35"/>
        <v>89.647559999999999</v>
      </c>
    </row>
    <row r="554" spans="2:24" x14ac:dyDescent="0.25">
      <c r="B554" s="11">
        <f>[1]code!B551</f>
        <v>891</v>
      </c>
      <c r="C554" s="2" t="str">
        <f>[1]code!C551</f>
        <v>مكسرات موالح</v>
      </c>
      <c r="D554" s="2" t="str">
        <f>[1]code!D551</f>
        <v>مواد غذائية (ليالي حليم)</v>
      </c>
      <c r="E554" s="1" t="str">
        <f>[1]code!E551</f>
        <v>كيلو</v>
      </c>
      <c r="F554" s="2" t="str">
        <f>[1]code!F551</f>
        <v>مشتريات مباشرة</v>
      </c>
      <c r="G554" s="12">
        <f>[1]code!G551</f>
        <v>45.052778506588574</v>
      </c>
      <c r="I554" s="10">
        <v>45.052778506588574</v>
      </c>
      <c r="J554" s="10">
        <v>45.129214772727266</v>
      </c>
      <c r="K554" s="10">
        <v>45.0785927378965</v>
      </c>
      <c r="L554" s="10">
        <v>44.999500000000005</v>
      </c>
      <c r="M554" s="10">
        <f>IFERROR(VLOOKUP($B554,[1]INV!$B$7:$H$2575,7,0),"")</f>
        <v>45.031154213135075</v>
      </c>
      <c r="N554" s="10"/>
      <c r="O554" s="10"/>
      <c r="P554" s="10"/>
      <c r="Q554" s="10"/>
      <c r="R554" s="10"/>
      <c r="S554" s="10"/>
      <c r="T554" s="10"/>
      <c r="U554" s="1">
        <f t="shared" si="32"/>
        <v>45.052778506588574</v>
      </c>
      <c r="V554" s="1">
        <f t="shared" si="33"/>
        <v>45.129214772727266</v>
      </c>
      <c r="W554" s="1">
        <f t="shared" si="34"/>
        <v>45.0785927378965</v>
      </c>
      <c r="X554" s="1">
        <f t="shared" si="35"/>
        <v>44.999500000000005</v>
      </c>
    </row>
    <row r="555" spans="2:24" x14ac:dyDescent="0.25">
      <c r="B555" s="11">
        <f>[1]code!B552</f>
        <v>896</v>
      </c>
      <c r="C555" s="2" t="str">
        <f>[1]code!C552</f>
        <v>شيدر احمر</v>
      </c>
      <c r="D555" s="2" t="str">
        <f>[1]code!D552</f>
        <v>مواد غذائية (ليالي حليم)</v>
      </c>
      <c r="E555" s="1" t="str">
        <f>[1]code!E552</f>
        <v>كيلو</v>
      </c>
      <c r="F555" s="2" t="str">
        <f>[1]code!F552</f>
        <v>مشتريات مباشرة</v>
      </c>
      <c r="G555" s="12">
        <f>[1]code!G552</f>
        <v>52.282202172303137</v>
      </c>
      <c r="I555" s="10">
        <v>52.282202172303137</v>
      </c>
      <c r="J555" s="10">
        <v>47.742147777777774</v>
      </c>
      <c r="K555" s="10">
        <v>54.962303052064627</v>
      </c>
      <c r="L555" s="10">
        <v>54.951389228295817</v>
      </c>
      <c r="M555" s="10">
        <f>IFERROR(VLOOKUP($B555,[1]INV!$B$7:$H$2575,7,0),"")</f>
        <v>54.946320550458722</v>
      </c>
      <c r="N555" s="10"/>
      <c r="O555" s="10"/>
      <c r="P555" s="10"/>
      <c r="Q555" s="10"/>
      <c r="R555" s="10"/>
      <c r="S555" s="10"/>
      <c r="T555" s="10"/>
      <c r="U555" s="1">
        <f t="shared" si="32"/>
        <v>52.282202172303137</v>
      </c>
      <c r="V555" s="1">
        <f t="shared" si="33"/>
        <v>47.742147777777774</v>
      </c>
      <c r="W555" s="1">
        <f t="shared" si="34"/>
        <v>54.962303052064627</v>
      </c>
      <c r="X555" s="1">
        <f t="shared" si="35"/>
        <v>54.951389228295817</v>
      </c>
    </row>
    <row r="556" spans="2:24" x14ac:dyDescent="0.25">
      <c r="B556" s="11">
        <f>[1]code!B553</f>
        <v>892</v>
      </c>
      <c r="C556" s="2" t="str">
        <f>[1]code!C553</f>
        <v>مكسرات يابانية</v>
      </c>
      <c r="D556" s="2" t="str">
        <f>[1]code!D553</f>
        <v>مواد غذائية (ليالي حليم)</v>
      </c>
      <c r="E556" s="1" t="str">
        <f>[1]code!E553</f>
        <v>كيلو</v>
      </c>
      <c r="F556" s="2" t="str">
        <f>[1]code!F553</f>
        <v>مشتريات مباشرة</v>
      </c>
      <c r="G556" s="12">
        <f>[1]code!G553</f>
        <v>20.684638758437124</v>
      </c>
      <c r="I556" s="10">
        <v>20.684638758437124</v>
      </c>
      <c r="J556" s="10">
        <v>20.185375000000001</v>
      </c>
      <c r="K556" s="10">
        <v>20.766384171907756</v>
      </c>
      <c r="L556" s="10">
        <v>21.6807126252505</v>
      </c>
      <c r="M556" s="10">
        <f>IFERROR(VLOOKUP($B556,[1]INV!$B$7:$H$2575,7,0),"")</f>
        <v>22.027965504080754</v>
      </c>
      <c r="N556" s="10"/>
      <c r="O556" s="10"/>
      <c r="P556" s="10"/>
      <c r="Q556" s="10"/>
      <c r="R556" s="10"/>
      <c r="S556" s="10"/>
      <c r="T556" s="10"/>
      <c r="U556" s="1">
        <f t="shared" si="32"/>
        <v>20.684638758437124</v>
      </c>
      <c r="V556" s="1">
        <f t="shared" si="33"/>
        <v>20.185375000000001</v>
      </c>
      <c r="W556" s="1">
        <f t="shared" si="34"/>
        <v>20.766384171907756</v>
      </c>
      <c r="X556" s="1">
        <f t="shared" si="35"/>
        <v>21.6807126252505</v>
      </c>
    </row>
    <row r="557" spans="2:24" x14ac:dyDescent="0.25">
      <c r="B557" s="11">
        <f>[1]code!B554</f>
        <v>893</v>
      </c>
      <c r="C557" s="2" t="str">
        <f>[1]code!C554</f>
        <v>اكواب ورقية 8 اونز</v>
      </c>
      <c r="D557" s="2" t="str">
        <f>[1]code!D554</f>
        <v>تعبئة و تغليف (ليالي حليم)</v>
      </c>
      <c r="E557" s="1" t="str">
        <f>[1]code!E554</f>
        <v>حبة</v>
      </c>
      <c r="F557" s="2" t="str">
        <f>[1]code!F554</f>
        <v>واد العطاء</v>
      </c>
      <c r="G557" s="12">
        <f>[1]code!G554</f>
        <v>0.15639999999999998</v>
      </c>
      <c r="I557" s="10">
        <v>0.15639999999999998</v>
      </c>
      <c r="J557" s="10">
        <v>0.15639999999999998</v>
      </c>
      <c r="K557" s="10">
        <v>0.1679000000000001</v>
      </c>
      <c r="L557" s="10">
        <v>0.1679000000000001</v>
      </c>
      <c r="M557" s="10" t="str">
        <f>IFERROR(VLOOKUP($B557,[1]INV!$B$7:$H$2575,7,0),"")</f>
        <v/>
      </c>
      <c r="N557" s="10"/>
      <c r="O557" s="10"/>
      <c r="P557" s="10"/>
      <c r="Q557" s="10"/>
      <c r="R557" s="10"/>
      <c r="S557" s="10"/>
      <c r="T557" s="10"/>
      <c r="U557" s="1">
        <f t="shared" si="32"/>
        <v>0.15639999999999998</v>
      </c>
      <c r="V557" s="1">
        <f t="shared" si="33"/>
        <v>0.15639999999999998</v>
      </c>
      <c r="W557" s="1">
        <f t="shared" si="34"/>
        <v>0.1679000000000001</v>
      </c>
      <c r="X557" s="1">
        <f t="shared" si="35"/>
        <v>0.1679000000000001</v>
      </c>
    </row>
    <row r="558" spans="2:24" x14ac:dyDescent="0.25">
      <c r="B558" s="11">
        <f>[1]code!B555</f>
        <v>894</v>
      </c>
      <c r="C558" s="2" t="str">
        <f>[1]code!C555</f>
        <v>اكواب ورقية 4 اونز</v>
      </c>
      <c r="D558" s="2" t="str">
        <f>[1]code!D555</f>
        <v>تعبئة و تغليف (ليالي حليم)</v>
      </c>
      <c r="E558" s="1" t="str">
        <f>[1]code!E555</f>
        <v>حبة</v>
      </c>
      <c r="F558" s="2" t="str">
        <f>[1]code!F555</f>
        <v>واد العطاء</v>
      </c>
      <c r="G558" s="12">
        <f>[1]code!G555</f>
        <v>0.1265</v>
      </c>
      <c r="I558" s="10">
        <v>0.1265</v>
      </c>
      <c r="J558" s="10">
        <v>0.1265</v>
      </c>
      <c r="K558" s="10">
        <v>0.1265</v>
      </c>
      <c r="L558" s="10">
        <v>0.1265</v>
      </c>
      <c r="M558" s="10" t="str">
        <f>IFERROR(VLOOKUP($B558,[1]INV!$B$7:$H$2575,7,0),"")</f>
        <v/>
      </c>
      <c r="N558" s="10"/>
      <c r="O558" s="10"/>
      <c r="P558" s="10"/>
      <c r="Q558" s="10"/>
      <c r="R558" s="10"/>
      <c r="S558" s="10"/>
      <c r="T558" s="10"/>
      <c r="U558" s="1">
        <f t="shared" si="32"/>
        <v>0.1265</v>
      </c>
      <c r="V558" s="1">
        <f t="shared" si="33"/>
        <v>0.1265</v>
      </c>
      <c r="W558" s="1">
        <f t="shared" si="34"/>
        <v>0.1265</v>
      </c>
      <c r="X558" s="1">
        <f t="shared" si="35"/>
        <v>0.1265</v>
      </c>
    </row>
    <row r="559" spans="2:24" x14ac:dyDescent="0.25">
      <c r="B559" s="11">
        <f>[1]code!B556</f>
        <v>895</v>
      </c>
      <c r="C559" s="2" t="str">
        <f>[1]code!C556</f>
        <v>غطاء اكواب 8 اونز</v>
      </c>
      <c r="D559" s="2" t="str">
        <f>[1]code!D556</f>
        <v>تعبئة و تغليف (ليالي حليم)</v>
      </c>
      <c r="E559" s="1" t="str">
        <f>[1]code!E556</f>
        <v>حبة</v>
      </c>
      <c r="F559" s="2" t="str">
        <f>[1]code!F556</f>
        <v>واد العطاء</v>
      </c>
      <c r="G559" s="12">
        <f>[1]code!G556</f>
        <v>5.5200000000000006E-2</v>
      </c>
      <c r="I559" s="10">
        <v>5.5200000000000006E-2</v>
      </c>
      <c r="J559" s="10">
        <v>5.5200000000000006E-2</v>
      </c>
      <c r="K559" s="10">
        <v>5.5200000000000006E-2</v>
      </c>
      <c r="L559" s="10">
        <v>5.5200000000000006E-2</v>
      </c>
      <c r="M559" s="10" t="str">
        <f>IFERROR(VLOOKUP($B559,[1]INV!$B$7:$H$2575,7,0),"")</f>
        <v/>
      </c>
      <c r="N559" s="10"/>
      <c r="O559" s="10"/>
      <c r="P559" s="10"/>
      <c r="Q559" s="10"/>
      <c r="R559" s="10"/>
      <c r="S559" s="10"/>
      <c r="T559" s="10"/>
      <c r="U559" s="1">
        <f t="shared" si="32"/>
        <v>5.5200000000000006E-2</v>
      </c>
      <c r="V559" s="1">
        <f t="shared" si="33"/>
        <v>5.5200000000000006E-2</v>
      </c>
      <c r="W559" s="1">
        <f t="shared" si="34"/>
        <v>5.5200000000000006E-2</v>
      </c>
      <c r="X559" s="1">
        <f t="shared" si="35"/>
        <v>5.5200000000000006E-2</v>
      </c>
    </row>
    <row r="560" spans="2:24" x14ac:dyDescent="0.25">
      <c r="B560" s="11">
        <f>[1]code!B557</f>
        <v>890</v>
      </c>
      <c r="C560" s="2" t="str">
        <f>[1]code!C557</f>
        <v>جبنة كيري مطبوخة</v>
      </c>
      <c r="D560" s="2" t="str">
        <f>[1]code!D557</f>
        <v>مواد غذائية (ليالي حليم)</v>
      </c>
      <c r="E560" s="1" t="str">
        <f>[1]code!E557</f>
        <v>كيلو</v>
      </c>
      <c r="F560" s="2" t="str">
        <f>[1]code!F557</f>
        <v>مشتريات مباشرة</v>
      </c>
      <c r="G560" s="12">
        <f>[1]code!G557</f>
        <v>19.899657138571428</v>
      </c>
      <c r="I560" s="10">
        <v>19.899657138571428</v>
      </c>
      <c r="J560" s="10">
        <v>20.596116666666667</v>
      </c>
      <c r="K560" s="10">
        <v>19.8996</v>
      </c>
      <c r="L560" s="10">
        <v>19.8996</v>
      </c>
      <c r="M560" s="10">
        <f>IFERROR(VLOOKUP($B560,[1]INV!$B$7:$H$2575,7,0),"")</f>
        <v>24.740901724137931</v>
      </c>
      <c r="N560" s="10"/>
      <c r="O560" s="10"/>
      <c r="P560" s="10"/>
      <c r="Q560" s="10"/>
      <c r="R560" s="10"/>
      <c r="S560" s="10"/>
      <c r="T560" s="10"/>
      <c r="U560" s="1">
        <f t="shared" si="32"/>
        <v>19.899657138571428</v>
      </c>
      <c r="V560" s="1">
        <f t="shared" si="33"/>
        <v>20.596116666666667</v>
      </c>
      <c r="W560" s="1">
        <f t="shared" si="34"/>
        <v>19.8996</v>
      </c>
      <c r="X560" s="1">
        <f t="shared" si="35"/>
        <v>19.8996</v>
      </c>
    </row>
    <row r="561" spans="2:24" x14ac:dyDescent="0.25">
      <c r="B561" s="11">
        <f>[1]code!B558</f>
        <v>898</v>
      </c>
      <c r="C561" s="2" t="str">
        <f>[1]code!C558</f>
        <v>بن امريكي اسبرسو</v>
      </c>
      <c r="D561" s="2" t="str">
        <f>[1]code!D558</f>
        <v>مواد غذائية (ليالي حليم)</v>
      </c>
      <c r="E561" s="1" t="str">
        <f>[1]code!E558</f>
        <v>كيلو</v>
      </c>
      <c r="F561" s="2" t="str">
        <f>[1]code!F558</f>
        <v>مشتريات مباشرة</v>
      </c>
      <c r="G561" s="12">
        <f>[1]code!G558</f>
        <v>83.375</v>
      </c>
      <c r="I561" s="10">
        <v>83.375</v>
      </c>
      <c r="J561" s="10">
        <v>83.375</v>
      </c>
      <c r="K561" s="10">
        <v>83.375</v>
      </c>
      <c r="L561" s="10">
        <v>82.8</v>
      </c>
      <c r="M561" s="10" t="str">
        <f>IFERROR(VLOOKUP($B561,[1]INV!$B$7:$H$2575,7,0),"")</f>
        <v/>
      </c>
      <c r="N561" s="10"/>
      <c r="O561" s="10"/>
      <c r="P561" s="10"/>
      <c r="Q561" s="10"/>
      <c r="R561" s="10"/>
      <c r="S561" s="10"/>
      <c r="T561" s="10"/>
      <c r="U561" s="1">
        <f t="shared" si="32"/>
        <v>83.375</v>
      </c>
      <c r="V561" s="1">
        <f t="shared" si="33"/>
        <v>83.375</v>
      </c>
      <c r="W561" s="1">
        <f t="shared" si="34"/>
        <v>83.375</v>
      </c>
      <c r="X561" s="1">
        <f t="shared" si="35"/>
        <v>82.8</v>
      </c>
    </row>
    <row r="562" spans="2:24" x14ac:dyDescent="0.25">
      <c r="B562" s="11">
        <f>[1]code!B559</f>
        <v>396</v>
      </c>
      <c r="C562" s="2" t="str">
        <f>[1]code!C559</f>
        <v>لي شيشة زجاج ملون</v>
      </c>
      <c r="D562" s="2" t="str">
        <f>[1]code!D559</f>
        <v>الشيشة</v>
      </c>
      <c r="E562" s="1" t="str">
        <f>[1]code!E559</f>
        <v>حبة</v>
      </c>
      <c r="F562" s="2" t="str">
        <f>[1]code!F559</f>
        <v>مشتريات مباشرة</v>
      </c>
      <c r="G562" s="12">
        <f>[1]code!G559</f>
        <v>1.3999992474999998</v>
      </c>
      <c r="I562" s="10">
        <v>1.3999992474999998</v>
      </c>
      <c r="J562" s="10">
        <v>1.3999992474999998</v>
      </c>
      <c r="K562" s="10">
        <v>1.3999992474999998</v>
      </c>
      <c r="L562" s="10">
        <v>1.3999992474999998</v>
      </c>
      <c r="M562" s="10" t="str">
        <f>IFERROR(VLOOKUP($B562,[1]INV!$B$7:$H$2575,7,0),"")</f>
        <v/>
      </c>
      <c r="N562" s="10"/>
      <c r="O562" s="10"/>
      <c r="P562" s="10"/>
      <c r="Q562" s="10"/>
      <c r="R562" s="10"/>
      <c r="S562" s="10"/>
      <c r="T562" s="10"/>
      <c r="U562" s="1">
        <f t="shared" si="32"/>
        <v>1.3999992474999998</v>
      </c>
      <c r="V562" s="1">
        <f t="shared" si="33"/>
        <v>1.3999992474999998</v>
      </c>
      <c r="W562" s="1">
        <f t="shared" si="34"/>
        <v>1.3999992474999998</v>
      </c>
      <c r="X562" s="1">
        <f t="shared" si="35"/>
        <v>1.3999992474999998</v>
      </c>
    </row>
    <row r="563" spans="2:24" x14ac:dyDescent="0.25">
      <c r="B563" s="11">
        <f>[1]code!B560</f>
        <v>887</v>
      </c>
      <c r="C563" s="2" t="str">
        <f>[1]code!C560</f>
        <v>كرانشي شيكولاته كيك</v>
      </c>
      <c r="D563" s="2" t="str">
        <f>[1]code!D560</f>
        <v>مواد غذائية (ليالي حليم)</v>
      </c>
      <c r="E563" s="1" t="str">
        <f>[1]code!E560</f>
        <v>حبة</v>
      </c>
      <c r="F563" s="2" t="str">
        <f>[1]code!F560</f>
        <v>انس غالب - جاناش</v>
      </c>
      <c r="G563" s="12">
        <f>[1]code!G560</f>
        <v>18.974999999999998</v>
      </c>
      <c r="I563" s="10">
        <v>36.299999999999997</v>
      </c>
      <c r="J563" s="10">
        <v>18.975000000000001</v>
      </c>
      <c r="K563" s="10">
        <v>18.974999999999998</v>
      </c>
      <c r="L563" s="10">
        <v>18.974999999999998</v>
      </c>
      <c r="M563" s="10">
        <f>IFERROR(VLOOKUP($B563,[1]INV!$B$7:$H$2575,7,0),"")</f>
        <v>18.974999999999998</v>
      </c>
      <c r="N563" s="10"/>
      <c r="O563" s="10"/>
      <c r="P563" s="10"/>
      <c r="Q563" s="10"/>
      <c r="R563" s="10"/>
      <c r="S563" s="10"/>
      <c r="T563" s="10"/>
      <c r="U563" s="1">
        <f t="shared" si="32"/>
        <v>36.299999999999997</v>
      </c>
      <c r="V563" s="1">
        <f t="shared" si="33"/>
        <v>18.975000000000001</v>
      </c>
      <c r="W563" s="1">
        <f t="shared" si="34"/>
        <v>18.974999999999998</v>
      </c>
      <c r="X563" s="1">
        <f t="shared" si="35"/>
        <v>18.974999999999998</v>
      </c>
    </row>
    <row r="564" spans="2:24" x14ac:dyDescent="0.25">
      <c r="B564" s="11">
        <f>[1]code!B561</f>
        <v>899</v>
      </c>
      <c r="C564" s="2" t="str">
        <f>[1]code!C561</f>
        <v>معسل مستكة نعناع 250 جرام</v>
      </c>
      <c r="D564" s="2" t="str">
        <f>[1]code!D561</f>
        <v>الشيشة</v>
      </c>
      <c r="E564" s="1" t="str">
        <f>[1]code!E561</f>
        <v>بكت</v>
      </c>
      <c r="F564" s="2" t="str">
        <f>[1]code!F561</f>
        <v>بيت النخلتين للمعسلات</v>
      </c>
      <c r="G564" s="12">
        <f>[1]code!G561</f>
        <v>63.750249999999994</v>
      </c>
      <c r="I564" s="10">
        <v>63.750249999999994</v>
      </c>
      <c r="J564" s="10">
        <v>63.750249999999994</v>
      </c>
      <c r="K564" s="10">
        <v>69.775099999999995</v>
      </c>
      <c r="L564" s="10">
        <v>64.809399999999997</v>
      </c>
      <c r="M564" s="10">
        <f>IFERROR(VLOOKUP($B564,[1]INV!$B$7:$H$2575,7,0),"")</f>
        <v>66.875374999999991</v>
      </c>
      <c r="N564" s="10"/>
      <c r="O564" s="10"/>
      <c r="P564" s="10"/>
      <c r="Q564" s="10"/>
      <c r="R564" s="10"/>
      <c r="S564" s="10"/>
      <c r="T564" s="10"/>
      <c r="U564" s="1">
        <f t="shared" si="32"/>
        <v>63.750249999999994</v>
      </c>
      <c r="V564" s="1">
        <f t="shared" si="33"/>
        <v>63.750249999999994</v>
      </c>
      <c r="W564" s="1">
        <f t="shared" si="34"/>
        <v>69.775099999999995</v>
      </c>
      <c r="X564" s="1">
        <f t="shared" si="35"/>
        <v>64.809399999999997</v>
      </c>
    </row>
    <row r="565" spans="2:24" x14ac:dyDescent="0.25">
      <c r="B565" s="11">
        <f>[1]code!B562</f>
        <v>897</v>
      </c>
      <c r="C565" s="2" t="str">
        <f>[1]code!C562</f>
        <v>حبق فريش</v>
      </c>
      <c r="D565" s="2" t="str">
        <f>[1]code!D562</f>
        <v>مواد غذائية (ليالي حليم)</v>
      </c>
      <c r="E565" s="1" t="str">
        <f>[1]code!E562</f>
        <v>كيلو</v>
      </c>
      <c r="F565" s="2" t="str">
        <f>[1]code!F562</f>
        <v>مشتريات مباشرة</v>
      </c>
      <c r="G565" s="12">
        <f>[1]code!G562</f>
        <v>4.4695</v>
      </c>
      <c r="I565" s="10">
        <v>4.4695</v>
      </c>
      <c r="J565" s="10">
        <v>4.5999999999999996</v>
      </c>
      <c r="K565" s="10">
        <v>4.5999999999999996</v>
      </c>
      <c r="L565" s="10">
        <v>4.5999999999999996</v>
      </c>
      <c r="M565" s="10">
        <f>IFERROR(VLOOKUP($B565,[1]INV!$B$7:$H$2575,7,0),"")</f>
        <v>4.5999999999999996</v>
      </c>
      <c r="N565" s="10"/>
      <c r="O565" s="10"/>
      <c r="P565" s="10"/>
      <c r="Q565" s="10"/>
      <c r="R565" s="10"/>
      <c r="S565" s="10"/>
      <c r="T565" s="10"/>
      <c r="U565" s="1">
        <f t="shared" si="32"/>
        <v>4.4695</v>
      </c>
      <c r="V565" s="1">
        <f t="shared" si="33"/>
        <v>4.5999999999999996</v>
      </c>
      <c r="W565" s="1">
        <f t="shared" si="34"/>
        <v>4.5999999999999996</v>
      </c>
      <c r="X565" s="1">
        <f t="shared" si="35"/>
        <v>4.5999999999999996</v>
      </c>
    </row>
    <row r="566" spans="2:24" x14ac:dyDescent="0.25">
      <c r="B566" s="11">
        <f>[1]code!B563</f>
        <v>900</v>
      </c>
      <c r="C566" s="2" t="str">
        <f>[1]code!C563</f>
        <v>تونة</v>
      </c>
      <c r="D566" s="2" t="str">
        <f>[1]code!D563</f>
        <v>مواد غذائية (ليالي حليم)</v>
      </c>
      <c r="E566" s="1" t="str">
        <f>[1]code!E563</f>
        <v>كيلو</v>
      </c>
      <c r="F566" s="2" t="str">
        <f>[1]code!F563</f>
        <v>مشتريات مباشرة</v>
      </c>
      <c r="G566" s="12">
        <f>[1]code!G563</f>
        <v>57.169748406374509</v>
      </c>
      <c r="I566" s="10">
        <v>57.169748406374509</v>
      </c>
      <c r="J566" s="10">
        <v>49.999700000000004</v>
      </c>
      <c r="K566" s="10">
        <v>49.906781597222228</v>
      </c>
      <c r="L566" s="10">
        <v>47.222450000000002</v>
      </c>
      <c r="M566" s="10">
        <f>IFERROR(VLOOKUP($B566,[1]INV!$B$7:$H$2575,7,0),"")</f>
        <v>47.222450000000009</v>
      </c>
      <c r="N566" s="10"/>
      <c r="O566" s="10"/>
      <c r="P566" s="10"/>
      <c r="Q566" s="10"/>
      <c r="R566" s="10"/>
      <c r="S566" s="10"/>
      <c r="T566" s="10"/>
      <c r="U566" s="1">
        <f t="shared" si="32"/>
        <v>57.169748406374509</v>
      </c>
      <c r="V566" s="1">
        <f t="shared" si="33"/>
        <v>49.999700000000004</v>
      </c>
      <c r="W566" s="1">
        <f t="shared" si="34"/>
        <v>49.906781597222228</v>
      </c>
      <c r="X566" s="1">
        <f t="shared" si="35"/>
        <v>47.222450000000002</v>
      </c>
    </row>
    <row r="567" spans="2:24" x14ac:dyDescent="0.25">
      <c r="B567" s="11">
        <f>[1]code!B564</f>
        <v>901</v>
      </c>
      <c r="C567" s="2" t="str">
        <f>[1]code!C564</f>
        <v>مكعب اشعال</v>
      </c>
      <c r="D567" s="2" t="str">
        <f>[1]code!D564</f>
        <v>أدوات تشغيل (ليالي حليم)</v>
      </c>
      <c r="E567" s="1" t="str">
        <f>[1]code!E564</f>
        <v>حبة</v>
      </c>
      <c r="F567" s="2" t="str">
        <f>[1]code!F564</f>
        <v>مشتريات مباشرة</v>
      </c>
      <c r="G567" s="12">
        <f>[1]code!G564</f>
        <v>0.4577</v>
      </c>
      <c r="I567" s="10">
        <v>0.4577</v>
      </c>
      <c r="J567" s="10">
        <v>0.4577</v>
      </c>
      <c r="K567" s="10">
        <v>0.4577</v>
      </c>
      <c r="L567" s="10">
        <v>0.4577</v>
      </c>
      <c r="M567" s="10" t="str">
        <f>IFERROR(VLOOKUP($B567,[1]INV!$B$7:$H$2575,7,0),"")</f>
        <v/>
      </c>
      <c r="N567" s="10"/>
      <c r="O567" s="10"/>
      <c r="P567" s="10"/>
      <c r="Q567" s="10"/>
      <c r="R567" s="10"/>
      <c r="S567" s="10"/>
      <c r="T567" s="10"/>
      <c r="U567" s="1">
        <f t="shared" si="32"/>
        <v>0.4577</v>
      </c>
      <c r="V567" s="1">
        <f t="shared" si="33"/>
        <v>0.4577</v>
      </c>
      <c r="W567" s="1">
        <f t="shared" si="34"/>
        <v>0.4577</v>
      </c>
      <c r="X567" s="1">
        <f t="shared" si="35"/>
        <v>0.4577</v>
      </c>
    </row>
    <row r="568" spans="2:24" x14ac:dyDescent="0.25">
      <c r="B568" s="11">
        <f>[1]code!B565</f>
        <v>871</v>
      </c>
      <c r="C568" s="2" t="str">
        <f>[1]code!C565</f>
        <v>بلو بيف</v>
      </c>
      <c r="D568" s="2" t="str">
        <f>[1]code!D565</f>
        <v>مواد غذائية (ليالي حليم)</v>
      </c>
      <c r="E568" s="1" t="str">
        <f>[1]code!E565</f>
        <v>كيلو</v>
      </c>
      <c r="F568" s="2" t="str">
        <f>[1]code!F565</f>
        <v>فريشلي</v>
      </c>
      <c r="G568" s="12">
        <f>[1]code!G565</f>
        <v>39.461100000000002</v>
      </c>
      <c r="I568" s="10">
        <v>39.461100000000002</v>
      </c>
      <c r="J568" s="10">
        <v>39.461100000000002</v>
      </c>
      <c r="K568" s="10">
        <v>39.461100000000002</v>
      </c>
      <c r="L568" s="10">
        <v>39.461100000000002</v>
      </c>
      <c r="M568" s="10" t="str">
        <f>IFERROR(VLOOKUP($B568,[1]INV!$B$7:$H$2575,7,0),"")</f>
        <v/>
      </c>
      <c r="N568" s="10"/>
      <c r="O568" s="10"/>
      <c r="P568" s="10"/>
      <c r="Q568" s="10"/>
      <c r="R568" s="10"/>
      <c r="S568" s="10"/>
      <c r="T568" s="10"/>
      <c r="U568" s="1">
        <f t="shared" si="32"/>
        <v>39.461100000000002</v>
      </c>
      <c r="V568" s="1">
        <f t="shared" si="33"/>
        <v>39.461100000000002</v>
      </c>
      <c r="W568" s="1">
        <f t="shared" si="34"/>
        <v>39.461100000000002</v>
      </c>
      <c r="X568" s="1">
        <f t="shared" si="35"/>
        <v>39.461100000000002</v>
      </c>
    </row>
    <row r="569" spans="2:24" x14ac:dyDescent="0.25">
      <c r="B569" s="11">
        <f>[1]code!B566</f>
        <v>877</v>
      </c>
      <c r="C569" s="2" t="str">
        <f>[1]code!C566</f>
        <v>سكر ابيض اظرف</v>
      </c>
      <c r="D569" s="2" t="str">
        <f>[1]code!D566</f>
        <v>مواد غذائية (ليالي حليم)</v>
      </c>
      <c r="E569" s="1" t="str">
        <f>[1]code!E566</f>
        <v>حبة</v>
      </c>
      <c r="F569" s="2" t="str">
        <f>[1]code!F566</f>
        <v>مصنع السكر الدعزاز</v>
      </c>
      <c r="G569" s="12">
        <f>[1]code!G566</f>
        <v>4.0250000000000001E-2</v>
      </c>
      <c r="I569" s="10">
        <v>4.0250000000000001E-2</v>
      </c>
      <c r="J569" s="10">
        <v>4.0250000000000001E-2</v>
      </c>
      <c r="K569" s="10">
        <v>3.7374999999999999E-2</v>
      </c>
      <c r="L569" s="10">
        <v>4.0250000000000001E-2</v>
      </c>
      <c r="M569" s="10" t="str">
        <f>IFERROR(VLOOKUP($B569,[1]INV!$B$7:$H$2575,7,0),"")</f>
        <v/>
      </c>
      <c r="N569" s="10"/>
      <c r="O569" s="10"/>
      <c r="P569" s="10"/>
      <c r="Q569" s="10"/>
      <c r="R569" s="10"/>
      <c r="S569" s="10"/>
      <c r="T569" s="10"/>
      <c r="U569" s="1">
        <f t="shared" si="32"/>
        <v>4.0250000000000001E-2</v>
      </c>
      <c r="V569" s="1">
        <f t="shared" si="33"/>
        <v>4.0250000000000001E-2</v>
      </c>
      <c r="W569" s="1">
        <f t="shared" si="34"/>
        <v>3.7374999999999999E-2</v>
      </c>
      <c r="X569" s="1">
        <f t="shared" si="35"/>
        <v>4.0250000000000001E-2</v>
      </c>
    </row>
    <row r="570" spans="2:24" x14ac:dyDescent="0.25">
      <c r="B570" s="11">
        <f>[1]code!B567</f>
        <v>902</v>
      </c>
      <c r="C570" s="2" t="str">
        <f>[1]code!C567</f>
        <v>غطاء 12اونز</v>
      </c>
      <c r="D570" s="2" t="str">
        <f>[1]code!D567</f>
        <v>تعبئة و تغليف (ليالي حليم)</v>
      </c>
      <c r="E570" s="1" t="str">
        <f>[1]code!E567</f>
        <v>حبة</v>
      </c>
      <c r="F570" s="2" t="str">
        <f>[1]code!F567</f>
        <v>واد العطاء</v>
      </c>
      <c r="G570" s="12">
        <f>[1]code!G567</f>
        <v>6.3250000000000001E-2</v>
      </c>
      <c r="I570" s="10">
        <v>6.3250000000000001E-2</v>
      </c>
      <c r="J570" s="10">
        <v>6.3250000000000001E-2</v>
      </c>
      <c r="K570" s="10">
        <v>6.3250000000000001E-2</v>
      </c>
      <c r="L570" s="10">
        <v>6.3250000000000001E-2</v>
      </c>
      <c r="M570" s="10" t="str">
        <f>IFERROR(VLOOKUP($B570,[1]INV!$B$7:$H$2575,7,0),"")</f>
        <v/>
      </c>
      <c r="N570" s="10"/>
      <c r="O570" s="10"/>
      <c r="P570" s="10"/>
      <c r="Q570" s="10"/>
      <c r="R570" s="10"/>
      <c r="S570" s="10"/>
      <c r="T570" s="10"/>
      <c r="U570" s="1">
        <f t="shared" si="32"/>
        <v>6.3250000000000001E-2</v>
      </c>
      <c r="V570" s="1">
        <f t="shared" si="33"/>
        <v>6.3250000000000001E-2</v>
      </c>
      <c r="W570" s="1">
        <f t="shared" si="34"/>
        <v>6.3250000000000001E-2</v>
      </c>
      <c r="X570" s="1">
        <f t="shared" si="35"/>
        <v>6.3250000000000001E-2</v>
      </c>
    </row>
    <row r="571" spans="2:24" x14ac:dyDescent="0.25">
      <c r="B571" s="11">
        <f>[1]code!B568</f>
        <v>875</v>
      </c>
      <c r="C571" s="2" t="str">
        <f>[1]code!C568</f>
        <v>بيبسي علب</v>
      </c>
      <c r="D571" s="2" t="str">
        <f>[1]code!D568</f>
        <v>المشروبات (ليالي حليم)</v>
      </c>
      <c r="E571" s="1" t="str">
        <f>[1]code!E568</f>
        <v>حبة</v>
      </c>
      <c r="F571" s="2" t="str">
        <f>[1]code!F568</f>
        <v>الشرق الأوسط - بيبسي</v>
      </c>
      <c r="G571" s="12">
        <f>[1]code!G568</f>
        <v>2.7877916704999999</v>
      </c>
      <c r="I571" s="10">
        <v>2.7877916704999999</v>
      </c>
      <c r="J571" s="10">
        <v>2.7877916704999999</v>
      </c>
      <c r="K571" s="10">
        <v>2.7877149999999999</v>
      </c>
      <c r="L571" s="10">
        <v>2.7877149999999999</v>
      </c>
      <c r="M571" s="10">
        <f>IFERROR(VLOOKUP($B571,[1]INV!$B$7:$H$2575,7,0),"")</f>
        <v>2.7875999999999999</v>
      </c>
      <c r="N571" s="10"/>
      <c r="O571" s="10"/>
      <c r="P571" s="10"/>
      <c r="Q571" s="10"/>
      <c r="R571" s="10"/>
      <c r="S571" s="10"/>
      <c r="T571" s="10"/>
      <c r="U571" s="1">
        <f t="shared" si="32"/>
        <v>2.7877916704999999</v>
      </c>
      <c r="V571" s="1">
        <f t="shared" si="33"/>
        <v>2.7877916704999999</v>
      </c>
      <c r="W571" s="1">
        <f t="shared" si="34"/>
        <v>2.7877149999999999</v>
      </c>
      <c r="X571" s="1">
        <f t="shared" si="35"/>
        <v>2.7877149999999999</v>
      </c>
    </row>
    <row r="572" spans="2:24" x14ac:dyDescent="0.25">
      <c r="B572" s="11">
        <f>[1]code!B569</f>
        <v>873</v>
      </c>
      <c r="C572" s="2" t="str">
        <f>[1]code!C569</f>
        <v>بيبسي دايت علب</v>
      </c>
      <c r="D572" s="2" t="str">
        <f>[1]code!D569</f>
        <v>المشروبات (ليالي حليم)</v>
      </c>
      <c r="E572" s="1" t="str">
        <f>[1]code!E569</f>
        <v>حبة</v>
      </c>
      <c r="F572" s="2" t="str">
        <f>[1]code!F569</f>
        <v>الشرق الأوسط - بيبسي</v>
      </c>
      <c r="G572" s="12">
        <f>[1]code!G569</f>
        <v>2.4998125</v>
      </c>
      <c r="I572" s="10">
        <v>2.4998125</v>
      </c>
      <c r="J572" s="10">
        <v>2.4998125</v>
      </c>
      <c r="K572" s="10">
        <v>2.4998125</v>
      </c>
      <c r="L572" s="10">
        <v>2.4998125</v>
      </c>
      <c r="M572" s="10" t="str">
        <f>IFERROR(VLOOKUP($B572,[1]INV!$B$7:$H$2575,7,0),"")</f>
        <v/>
      </c>
      <c r="N572" s="10"/>
      <c r="O572" s="10"/>
      <c r="P572" s="10"/>
      <c r="Q572" s="10"/>
      <c r="R572" s="10"/>
      <c r="S572" s="10"/>
      <c r="T572" s="10"/>
      <c r="U572" s="1">
        <f t="shared" si="32"/>
        <v>2.4998125</v>
      </c>
      <c r="V572" s="1">
        <f t="shared" si="33"/>
        <v>2.4998125</v>
      </c>
      <c r="W572" s="1">
        <f t="shared" si="34"/>
        <v>2.4998125</v>
      </c>
      <c r="X572" s="1">
        <f t="shared" si="35"/>
        <v>2.4998125</v>
      </c>
    </row>
    <row r="573" spans="2:24" x14ac:dyDescent="0.25">
      <c r="B573" s="11">
        <f>[1]code!B570</f>
        <v>903</v>
      </c>
      <c r="C573" s="2" t="str">
        <f>[1]code!C570</f>
        <v>عصير تفاح الربيع</v>
      </c>
      <c r="D573" s="2" t="str">
        <f>[1]code!D570</f>
        <v>المشروبات (ليالي حليم)</v>
      </c>
      <c r="E573" s="1" t="str">
        <f>[1]code!E570</f>
        <v>لتر</v>
      </c>
      <c r="F573" s="2" t="str">
        <f>[1]code!F570</f>
        <v>مشتريات مباشرة</v>
      </c>
      <c r="G573" s="12">
        <f>[1]code!G570</f>
        <v>6.9989000000000008</v>
      </c>
      <c r="I573" s="10">
        <v>6.9989000000000008</v>
      </c>
      <c r="J573" s="10">
        <v>6.9989000000000008</v>
      </c>
      <c r="K573" s="10">
        <v>6.9989000000000008</v>
      </c>
      <c r="L573" s="10">
        <v>6.9989000000000008</v>
      </c>
      <c r="M573" s="10">
        <f>IFERROR(VLOOKUP($B573,[1]INV!$B$7:$H$2575,7,0),"")</f>
        <v>6.9989000000000008</v>
      </c>
      <c r="N573" s="10"/>
      <c r="O573" s="10"/>
      <c r="P573" s="10"/>
      <c r="Q573" s="10"/>
      <c r="R573" s="10"/>
      <c r="S573" s="10"/>
      <c r="T573" s="10"/>
      <c r="U573" s="1">
        <f t="shared" si="32"/>
        <v>6.9989000000000008</v>
      </c>
      <c r="V573" s="1">
        <f t="shared" si="33"/>
        <v>6.9989000000000008</v>
      </c>
      <c r="W573" s="1">
        <f t="shared" si="34"/>
        <v>6.9989000000000008</v>
      </c>
      <c r="X573" s="1">
        <f t="shared" si="35"/>
        <v>6.9989000000000008</v>
      </c>
    </row>
    <row r="574" spans="2:24" x14ac:dyDescent="0.25">
      <c r="B574" s="11">
        <f>[1]code!B571</f>
        <v>888</v>
      </c>
      <c r="C574" s="2" t="str">
        <f>[1]code!C571</f>
        <v>مصاص شاليموه شفاف مغلف</v>
      </c>
      <c r="D574" s="2" t="str">
        <f>[1]code!D571</f>
        <v>تعبئة و تغليف (ليالي حليم)</v>
      </c>
      <c r="E574" s="1" t="str">
        <f>[1]code!E571</f>
        <v>شدة</v>
      </c>
      <c r="F574" s="2" t="str">
        <f>[1]code!F571</f>
        <v>واد العطاء</v>
      </c>
      <c r="G574" s="12">
        <f>[1]code!G571</f>
        <v>2.5874999999999999</v>
      </c>
      <c r="I574" s="10">
        <v>2.5874999999999999</v>
      </c>
      <c r="J574" s="10">
        <v>3.4994500000000004</v>
      </c>
      <c r="K574" s="10">
        <v>3.4994500000000004</v>
      </c>
      <c r="L574" s="10">
        <v>2.5874999999999999</v>
      </c>
      <c r="M574" s="10">
        <f>IFERROR(VLOOKUP($B574,[1]INV!$B$7:$H$2575,7,0),"")</f>
        <v>2.5874999999999999</v>
      </c>
      <c r="N574" s="10"/>
      <c r="O574" s="10"/>
      <c r="P574" s="10"/>
      <c r="Q574" s="10"/>
      <c r="R574" s="10"/>
      <c r="S574" s="10"/>
      <c r="T574" s="10"/>
      <c r="U574" s="1">
        <f t="shared" si="32"/>
        <v>2.5874999999999999</v>
      </c>
      <c r="V574" s="1">
        <f t="shared" si="33"/>
        <v>3.4994500000000004</v>
      </c>
      <c r="W574" s="1">
        <f t="shared" si="34"/>
        <v>3.4994500000000004</v>
      </c>
      <c r="X574" s="1">
        <f t="shared" si="35"/>
        <v>2.5874999999999999</v>
      </c>
    </row>
    <row r="575" spans="2:24" x14ac:dyDescent="0.25">
      <c r="B575" s="11">
        <f>[1]code!B572</f>
        <v>906</v>
      </c>
      <c r="C575" s="2" t="str">
        <f>[1]code!C572</f>
        <v>شاي الربيع فرط</v>
      </c>
      <c r="D575" s="2" t="str">
        <f>[1]code!D572</f>
        <v>مواد غذائية (ليالي حليم)</v>
      </c>
      <c r="E575" s="1" t="str">
        <f>[1]code!E572</f>
        <v>كيلو</v>
      </c>
      <c r="F575" s="2" t="str">
        <f>[1]code!F572</f>
        <v>مشتريات مباشرة</v>
      </c>
      <c r="G575" s="12">
        <f>[1]code!G572</f>
        <v>38.029710845575217</v>
      </c>
      <c r="I575" s="10">
        <v>38.029710845575217</v>
      </c>
      <c r="J575" s="10">
        <v>38.332374999999992</v>
      </c>
      <c r="K575" s="10">
        <v>38.235690441176473</v>
      </c>
      <c r="L575" s="10">
        <v>37.778879999999994</v>
      </c>
      <c r="M575" s="10">
        <f>IFERROR(VLOOKUP($B575,[1]INV!$B$7:$H$2575,7,0),"")</f>
        <v>37.395549748743711</v>
      </c>
      <c r="N575" s="10"/>
      <c r="O575" s="10"/>
      <c r="P575" s="10"/>
      <c r="Q575" s="10"/>
      <c r="R575" s="10"/>
      <c r="S575" s="10"/>
      <c r="T575" s="10"/>
      <c r="U575" s="1">
        <f t="shared" si="32"/>
        <v>38.029710845575217</v>
      </c>
      <c r="V575" s="1">
        <f t="shared" si="33"/>
        <v>38.332374999999992</v>
      </c>
      <c r="W575" s="1">
        <f t="shared" si="34"/>
        <v>38.235690441176473</v>
      </c>
      <c r="X575" s="1">
        <f t="shared" si="35"/>
        <v>37.778879999999994</v>
      </c>
    </row>
    <row r="576" spans="2:24" x14ac:dyDescent="0.25">
      <c r="B576" s="11">
        <f>[1]code!B573</f>
        <v>868</v>
      </c>
      <c r="C576" s="2" t="str">
        <f>[1]code!C573</f>
        <v>ملاعق حلا صغيرة</v>
      </c>
      <c r="D576" s="2" t="str">
        <f>[1]code!D573</f>
        <v>تعبئة و تغليف (ليالي حليم)</v>
      </c>
      <c r="E576" s="1" t="str">
        <f>[1]code!E573</f>
        <v>حبة</v>
      </c>
      <c r="F576" s="2" t="str">
        <f>[1]code!F573</f>
        <v>واد العطاء</v>
      </c>
      <c r="G576" s="12">
        <f>[1]code!G573</f>
        <v>0.10349999999999999</v>
      </c>
      <c r="I576" s="10">
        <v>0.10349999999999999</v>
      </c>
      <c r="J576" s="10">
        <v>0.10349999999999999</v>
      </c>
      <c r="K576" s="10">
        <v>0.10349999999999999</v>
      </c>
      <c r="L576" s="10">
        <v>0.10349999999999999</v>
      </c>
      <c r="M576" s="10">
        <f>IFERROR(VLOOKUP($B576,[1]INV!$B$7:$H$2575,7,0),"")</f>
        <v>0.1265</v>
      </c>
      <c r="N576" s="10"/>
      <c r="O576" s="10"/>
      <c r="P576" s="10"/>
      <c r="Q576" s="10"/>
      <c r="R576" s="10"/>
      <c r="S576" s="10"/>
      <c r="T576" s="10"/>
      <c r="U576" s="1">
        <f t="shared" si="32"/>
        <v>0.10349999999999999</v>
      </c>
      <c r="V576" s="1">
        <f t="shared" si="33"/>
        <v>0.10349999999999999</v>
      </c>
      <c r="W576" s="1">
        <f t="shared" si="34"/>
        <v>0.10349999999999999</v>
      </c>
      <c r="X576" s="1">
        <f t="shared" si="35"/>
        <v>0.10349999999999999</v>
      </c>
    </row>
    <row r="577" spans="2:24" x14ac:dyDescent="0.25">
      <c r="B577" s="11">
        <f>[1]code!B574</f>
        <v>876</v>
      </c>
      <c r="C577" s="2" t="str">
        <f>[1]code!C574</f>
        <v>دبس فلفل</v>
      </c>
      <c r="D577" s="2" t="str">
        <f>[1]code!D574</f>
        <v>مواد غذائية (ليالي حليم)</v>
      </c>
      <c r="E577" s="1" t="str">
        <f>[1]code!E574</f>
        <v>كيلو</v>
      </c>
      <c r="F577" s="2" t="str">
        <f>[1]code!F574</f>
        <v>مشتريات مباشرة</v>
      </c>
      <c r="G577" s="12">
        <f>[1]code!G574</f>
        <v>30.605284545454548</v>
      </c>
      <c r="I577" s="10">
        <v>30.605284545454548</v>
      </c>
      <c r="J577" s="10">
        <v>39.2288</v>
      </c>
      <c r="K577" s="10">
        <v>39.229374999999997</v>
      </c>
      <c r="L577" s="10">
        <v>25.000999999999998</v>
      </c>
      <c r="M577" s="10">
        <f>IFERROR(VLOOKUP($B577,[1]INV!$B$7:$H$2575,7,0),"")</f>
        <v>25.000999999999998</v>
      </c>
      <c r="N577" s="10"/>
      <c r="O577" s="10"/>
      <c r="P577" s="10"/>
      <c r="Q577" s="10"/>
      <c r="R577" s="10"/>
      <c r="S577" s="10"/>
      <c r="T577" s="10"/>
      <c r="U577" s="1">
        <f t="shared" si="32"/>
        <v>30.605284545454548</v>
      </c>
      <c r="V577" s="1">
        <f t="shared" si="33"/>
        <v>39.2288</v>
      </c>
      <c r="W577" s="1">
        <f t="shared" si="34"/>
        <v>39.229374999999997</v>
      </c>
      <c r="X577" s="1">
        <f t="shared" si="35"/>
        <v>25.000999999999998</v>
      </c>
    </row>
    <row r="578" spans="2:24" x14ac:dyDescent="0.25">
      <c r="B578" s="11">
        <f>[1]code!B575</f>
        <v>878</v>
      </c>
      <c r="C578" s="2" t="str">
        <f>[1]code!C575</f>
        <v>زنجبيل خيط</v>
      </c>
      <c r="D578" s="2" t="str">
        <f>[1]code!D575</f>
        <v>مواد غذائية (ليالي حليم)</v>
      </c>
      <c r="E578" s="1" t="str">
        <f>[1]code!E575</f>
        <v>حبة</v>
      </c>
      <c r="F578" s="2" t="str">
        <f>[1]code!F575</f>
        <v>مشتريات مباشرة</v>
      </c>
      <c r="G578" s="12">
        <f>[1]code!G575</f>
        <v>0.52440000000000009</v>
      </c>
      <c r="I578" s="10">
        <v>0.52440000000000009</v>
      </c>
      <c r="J578" s="10">
        <v>0.52440000000000009</v>
      </c>
      <c r="K578" s="10">
        <v>0.52440000000000009</v>
      </c>
      <c r="L578" s="10">
        <v>0.52440000000000009</v>
      </c>
      <c r="M578" s="10">
        <f>IFERROR(VLOOKUP($B578,[1]INV!$B$7:$H$2575,7,0),"")</f>
        <v>0.52493666666666672</v>
      </c>
      <c r="N578" s="10"/>
      <c r="O578" s="10"/>
      <c r="P578" s="10"/>
      <c r="Q578" s="10"/>
      <c r="R578" s="10"/>
      <c r="S578" s="10"/>
      <c r="T578" s="10"/>
      <c r="U578" s="1">
        <f t="shared" si="32"/>
        <v>0.52440000000000009</v>
      </c>
      <c r="V578" s="1">
        <f t="shared" si="33"/>
        <v>0.52440000000000009</v>
      </c>
      <c r="W578" s="1">
        <f t="shared" si="34"/>
        <v>0.52440000000000009</v>
      </c>
      <c r="X578" s="1">
        <f t="shared" si="35"/>
        <v>0.52440000000000009</v>
      </c>
    </row>
    <row r="579" spans="2:24" x14ac:dyDescent="0.25">
      <c r="B579" s="11">
        <f>[1]code!B576</f>
        <v>905</v>
      </c>
      <c r="C579" s="2" t="str">
        <f>[1]code!C576</f>
        <v>ليز فلفل حار 21 جرام</v>
      </c>
      <c r="D579" s="2" t="str">
        <f>[1]code!D576</f>
        <v>دعايا وتسويق</v>
      </c>
      <c r="E579" s="1" t="str">
        <f>[1]code!E576</f>
        <v>حبة</v>
      </c>
      <c r="F579" s="2" t="str">
        <f>[1]code!F576</f>
        <v>بيبسيكو ليز</v>
      </c>
      <c r="G579" s="12">
        <f>[1]code!G576</f>
        <v>1.1996964335000002</v>
      </c>
      <c r="I579" s="10">
        <v>1.1996964335000002</v>
      </c>
      <c r="J579" s="10">
        <v>1.201819</v>
      </c>
      <c r="K579" s="10">
        <v>1.32743005</v>
      </c>
      <c r="L579" s="10">
        <v>1.2686089705882355</v>
      </c>
      <c r="M579" s="10">
        <f>IFERROR(VLOOKUP($B579,[1]INV!$B$7:$H$2575,7,0),"")</f>
        <v>1.2024285000000001</v>
      </c>
      <c r="N579" s="10"/>
      <c r="O579" s="10"/>
      <c r="P579" s="10"/>
      <c r="Q579" s="10"/>
      <c r="R579" s="10"/>
      <c r="S579" s="10"/>
      <c r="T579" s="10"/>
      <c r="U579" s="1">
        <f t="shared" si="32"/>
        <v>1.1996964335000002</v>
      </c>
      <c r="V579" s="1">
        <f t="shared" si="33"/>
        <v>1.201819</v>
      </c>
      <c r="W579" s="1">
        <f t="shared" si="34"/>
        <v>1.32743005</v>
      </c>
      <c r="X579" s="1">
        <f t="shared" si="35"/>
        <v>1.2686089705882355</v>
      </c>
    </row>
    <row r="580" spans="2:24" x14ac:dyDescent="0.25">
      <c r="B580" s="11">
        <f>[1]code!B577</f>
        <v>908</v>
      </c>
      <c r="C580" s="2" t="str">
        <f>[1]code!C577</f>
        <v>كيكة باردة بالمانجو</v>
      </c>
      <c r="D580" s="2" t="str">
        <f>[1]code!D577</f>
        <v>مواد غذائية (ليالي حليم)</v>
      </c>
      <c r="E580" s="1" t="str">
        <f>[1]code!E577</f>
        <v>حبة</v>
      </c>
      <c r="F580" s="2" t="str">
        <f>[1]code!F577</f>
        <v>انس غالب - جاناش</v>
      </c>
      <c r="G580" s="12">
        <f>[1]code!G577</f>
        <v>21.5625</v>
      </c>
      <c r="I580" s="10">
        <v>21.5625</v>
      </c>
      <c r="J580" s="10">
        <v>21.837924999999998</v>
      </c>
      <c r="K580" s="10">
        <v>21.5625</v>
      </c>
      <c r="L580" s="10">
        <v>20.7</v>
      </c>
      <c r="M580" s="10" t="str">
        <f>IFERROR(VLOOKUP($B580,[1]INV!$B$7:$H$2575,7,0),"")</f>
        <v/>
      </c>
      <c r="N580" s="10"/>
      <c r="O580" s="10"/>
      <c r="P580" s="10"/>
      <c r="Q580" s="10"/>
      <c r="R580" s="10"/>
      <c r="S580" s="10"/>
      <c r="T580" s="10"/>
      <c r="U580" s="1">
        <f t="shared" si="32"/>
        <v>21.5625</v>
      </c>
      <c r="V580" s="1">
        <f t="shared" si="33"/>
        <v>21.837924999999998</v>
      </c>
      <c r="W580" s="1">
        <f t="shared" si="34"/>
        <v>21.5625</v>
      </c>
      <c r="X580" s="1">
        <f t="shared" si="35"/>
        <v>20.7</v>
      </c>
    </row>
    <row r="581" spans="2:24" x14ac:dyDescent="0.25">
      <c r="B581" s="11">
        <f>[1]code!B578</f>
        <v>909</v>
      </c>
      <c r="C581" s="2" t="str">
        <f>[1]code!C578</f>
        <v>عصير الربيع اناناس</v>
      </c>
      <c r="D581" s="2" t="str">
        <f>[1]code!D578</f>
        <v>مواد غذائية (ليالي حليم)</v>
      </c>
      <c r="E581" s="1" t="str">
        <f>[1]code!E578</f>
        <v>لتر</v>
      </c>
      <c r="F581" s="2" t="str">
        <f>[1]code!F578</f>
        <v>مشتريات مباشرة</v>
      </c>
      <c r="G581" s="12">
        <f>[1]code!G578</f>
        <v>6.9897</v>
      </c>
      <c r="I581" s="10">
        <v>6.9897</v>
      </c>
      <c r="J581" s="10">
        <v>7.9994000000000005</v>
      </c>
      <c r="K581" s="10">
        <v>7.9994000000000005</v>
      </c>
      <c r="L581" s="10">
        <v>7.9994000000000005</v>
      </c>
      <c r="M581" s="10" t="str">
        <f>IFERROR(VLOOKUP($B581,[1]INV!$B$7:$H$2575,7,0),"")</f>
        <v/>
      </c>
      <c r="N581" s="10"/>
      <c r="O581" s="10"/>
      <c r="P581" s="10"/>
      <c r="Q581" s="10"/>
      <c r="R581" s="10"/>
      <c r="S581" s="10"/>
      <c r="T581" s="10"/>
      <c r="U581" s="1">
        <f t="shared" si="32"/>
        <v>6.9897</v>
      </c>
      <c r="V581" s="1">
        <f t="shared" si="33"/>
        <v>7.9994000000000005</v>
      </c>
      <c r="W581" s="1">
        <f t="shared" si="34"/>
        <v>7.9994000000000005</v>
      </c>
      <c r="X581" s="1">
        <f t="shared" si="35"/>
        <v>7.9994000000000005</v>
      </c>
    </row>
    <row r="582" spans="2:24" x14ac:dyDescent="0.25">
      <c r="B582" s="11">
        <f>[1]code!B579</f>
        <v>879</v>
      </c>
      <c r="C582" s="2" t="str">
        <f>[1]code!C579</f>
        <v>روبيان بقسماط مجمد</v>
      </c>
      <c r="D582" s="2" t="str">
        <f>[1]code!D579</f>
        <v>مواد غذائية (ليالي حليم)</v>
      </c>
      <c r="E582" s="1" t="str">
        <f>[1]code!E579</f>
        <v>كيلو</v>
      </c>
      <c r="F582" s="2" t="str">
        <f>[1]code!F579</f>
        <v>امريكانا</v>
      </c>
      <c r="G582" s="12">
        <f>[1]code!G579</f>
        <v>55.774999999999999</v>
      </c>
      <c r="I582" s="10">
        <v>55.774999999999999</v>
      </c>
      <c r="J582" s="10">
        <v>55.774999999999999</v>
      </c>
      <c r="K582" s="10">
        <v>55.774999999999999</v>
      </c>
      <c r="L582" s="10">
        <v>55.774999999999999</v>
      </c>
      <c r="M582" s="10">
        <f>IFERROR(VLOOKUP($B582,[1]INV!$B$7:$H$2575,7,0),"")</f>
        <v>55.774999999999999</v>
      </c>
      <c r="N582" s="10"/>
      <c r="O582" s="10"/>
      <c r="P582" s="10"/>
      <c r="Q582" s="10"/>
      <c r="R582" s="10"/>
      <c r="S582" s="10"/>
      <c r="T582" s="10"/>
      <c r="U582" s="1">
        <f t="shared" si="32"/>
        <v>55.774999999999999</v>
      </c>
      <c r="V582" s="1">
        <f t="shared" si="33"/>
        <v>55.774999999999999</v>
      </c>
      <c r="W582" s="1">
        <f t="shared" si="34"/>
        <v>55.774999999999999</v>
      </c>
      <c r="X582" s="1">
        <f t="shared" si="35"/>
        <v>55.774999999999999</v>
      </c>
    </row>
    <row r="583" spans="2:24" x14ac:dyDescent="0.25">
      <c r="B583" s="11">
        <f>[1]code!B580</f>
        <v>910</v>
      </c>
      <c r="C583" s="2" t="str">
        <f>[1]code!C580</f>
        <v>علب حلا مربع شفاف 18</v>
      </c>
      <c r="D583" s="2" t="str">
        <f>[1]code!D580</f>
        <v>تعبئة و تغليف (ليالي حليم)</v>
      </c>
      <c r="E583" s="1" t="str">
        <f>[1]code!E580</f>
        <v>حبة</v>
      </c>
      <c r="F583" s="2" t="str">
        <f>[1]code!F580</f>
        <v>مشتريات مباشرة</v>
      </c>
      <c r="G583" s="12">
        <f>[1]code!G580</f>
        <v>0.58333299999999999</v>
      </c>
      <c r="I583" s="10">
        <v>0.50002000000000002</v>
      </c>
      <c r="J583" s="10">
        <v>0.58333289999999993</v>
      </c>
      <c r="K583" s="10">
        <v>0.50002000000000002</v>
      </c>
      <c r="L583" s="10">
        <v>0.52095000000000002</v>
      </c>
      <c r="M583" s="10" t="str">
        <f>IFERROR(VLOOKUP($B583,[1]INV!$B$7:$H$2575,7,0),"")</f>
        <v/>
      </c>
      <c r="N583" s="10"/>
      <c r="O583" s="10"/>
      <c r="P583" s="10"/>
      <c r="Q583" s="10"/>
      <c r="R583" s="10"/>
      <c r="S583" s="10"/>
      <c r="T583" s="10"/>
      <c r="U583" s="1">
        <f t="shared" si="32"/>
        <v>0.50002000000000002</v>
      </c>
      <c r="V583" s="1">
        <f t="shared" si="33"/>
        <v>0.58333289999999993</v>
      </c>
      <c r="W583" s="1">
        <f t="shared" si="34"/>
        <v>0.50002000000000002</v>
      </c>
      <c r="X583" s="1">
        <f t="shared" si="35"/>
        <v>0.52095000000000002</v>
      </c>
    </row>
    <row r="584" spans="2:24" x14ac:dyDescent="0.25">
      <c r="B584" s="11">
        <f>[1]code!B581</f>
        <v>912</v>
      </c>
      <c r="C584" s="2" t="str">
        <f>[1]code!C581</f>
        <v>بودرة تنظيف لماكينة القهوة</v>
      </c>
      <c r="D584" s="2" t="str">
        <f>[1]code!D581</f>
        <v>منظفات</v>
      </c>
      <c r="E584" s="1" t="str">
        <f>[1]code!E581</f>
        <v>حبة</v>
      </c>
      <c r="F584" s="2" t="str">
        <f>[1]code!F581</f>
        <v>محامص البلد القديمة</v>
      </c>
      <c r="G584" s="12">
        <f>[1]code!G581</f>
        <v>72.45</v>
      </c>
      <c r="I584" s="10">
        <v>72.45</v>
      </c>
      <c r="J584" s="10">
        <v>72.45</v>
      </c>
      <c r="K584" s="10">
        <v>72.45</v>
      </c>
      <c r="L584" s="10">
        <v>72.45</v>
      </c>
      <c r="M584" s="10" t="str">
        <f>IFERROR(VLOOKUP($B584,[1]INV!$B$7:$H$2575,7,0),"")</f>
        <v/>
      </c>
      <c r="N584" s="10"/>
      <c r="O584" s="10"/>
      <c r="P584" s="10"/>
      <c r="Q584" s="10"/>
      <c r="R584" s="10"/>
      <c r="S584" s="10"/>
      <c r="T584" s="10"/>
      <c r="U584" s="1">
        <f>IF($I584="",$G584,$I584)</f>
        <v>72.45</v>
      </c>
      <c r="V584" s="1">
        <f t="shared" ref="V584:V647" si="36">IF($J584="",$I584,$J584)</f>
        <v>72.45</v>
      </c>
      <c r="W584" s="1">
        <f t="shared" ref="W584:W647" si="37">IF($K584="",$J584,$K584)</f>
        <v>72.45</v>
      </c>
      <c r="X584" s="1">
        <f t="shared" ref="X584:X647" si="38">IF($L584="",$K584,$L584)</f>
        <v>72.45</v>
      </c>
    </row>
    <row r="585" spans="2:24" x14ac:dyDescent="0.25">
      <c r="B585" s="11">
        <f>[1]code!B582</f>
        <v>915</v>
      </c>
      <c r="C585" s="2" t="str">
        <f>[1]code!C582</f>
        <v>مجموعة ياميش رمضان</v>
      </c>
      <c r="D585" s="2" t="str">
        <f>[1]code!D582</f>
        <v>مواد غذائية (طحينة)</v>
      </c>
      <c r="E585" s="1" t="str">
        <f>[1]code!E582</f>
        <v>عدد</v>
      </c>
      <c r="F585" s="2" t="str">
        <f>[1]code!F582</f>
        <v>مشتريات مباشرة</v>
      </c>
      <c r="G585" s="12">
        <f>[1]code!G582</f>
        <v>0</v>
      </c>
      <c r="I585" s="10">
        <v>298.50003749999996</v>
      </c>
      <c r="J585" s="10">
        <v>288.21060397614315</v>
      </c>
      <c r="K585" s="10">
        <v>298.50003749999996</v>
      </c>
      <c r="L585" s="10">
        <v>298.50003749999996</v>
      </c>
      <c r="M585" s="10" t="str">
        <f>IFERROR(VLOOKUP($B585,[1]INV!$B$7:$H$2575,7,0),"")</f>
        <v/>
      </c>
      <c r="N585" s="10"/>
      <c r="O585" s="10"/>
      <c r="P585" s="10"/>
      <c r="Q585" s="10"/>
      <c r="R585" s="10"/>
      <c r="S585" s="10"/>
      <c r="T585" s="10"/>
      <c r="U585" s="1">
        <f>IF($I585="",$G585,$I585)</f>
        <v>298.50003749999996</v>
      </c>
      <c r="V585" s="1">
        <f t="shared" si="36"/>
        <v>288.21060397614315</v>
      </c>
      <c r="W585" s="1">
        <f t="shared" si="37"/>
        <v>298.50003749999996</v>
      </c>
      <c r="X585" s="1">
        <f t="shared" si="38"/>
        <v>298.50003749999996</v>
      </c>
    </row>
    <row r="586" spans="2:24" x14ac:dyDescent="0.25">
      <c r="B586" s="11">
        <f>[1]code!B583</f>
        <v>914</v>
      </c>
      <c r="C586" s="2" t="str">
        <f>[1]code!C583</f>
        <v>فول مدمس</v>
      </c>
      <c r="D586" s="2" t="str">
        <f>[1]code!D583</f>
        <v>وجبات اسطف</v>
      </c>
      <c r="E586" s="1" t="str">
        <f>[1]code!E583</f>
        <v>حبة</v>
      </c>
      <c r="F586" s="2" t="str">
        <f>[1]code!F583</f>
        <v>مشتريات مباشرة</v>
      </c>
      <c r="G586" s="12">
        <f>[1]code!G583</f>
        <v>1.39</v>
      </c>
      <c r="I586" s="10">
        <v>1.3895679999999999</v>
      </c>
      <c r="J586" s="10">
        <v>1.3892</v>
      </c>
      <c r="K586" s="10">
        <v>1.3895679999999999</v>
      </c>
      <c r="L586" s="10">
        <v>1.3895679999999999</v>
      </c>
      <c r="M586" s="10" t="str">
        <f>IFERROR(VLOOKUP($B586,[1]INV!$B$7:$H$2575,7,0),"")</f>
        <v/>
      </c>
      <c r="N586" s="10"/>
      <c r="O586" s="10"/>
      <c r="P586" s="10"/>
      <c r="Q586" s="10"/>
      <c r="R586" s="10"/>
      <c r="S586" s="10"/>
      <c r="T586" s="10"/>
      <c r="U586" s="1">
        <f>IF($I586="",$G586,$I586)</f>
        <v>1.3895679999999999</v>
      </c>
      <c r="V586" s="1">
        <f t="shared" si="36"/>
        <v>1.3892</v>
      </c>
      <c r="W586" s="1">
        <f t="shared" si="37"/>
        <v>1.3895679999999999</v>
      </c>
      <c r="X586" s="1">
        <f t="shared" si="38"/>
        <v>1.3895679999999999</v>
      </c>
    </row>
    <row r="587" spans="2:24" x14ac:dyDescent="0.25">
      <c r="B587" s="11">
        <f>[1]code!B584</f>
        <v>649</v>
      </c>
      <c r="C587" s="2" t="str">
        <f>[1]code!C584</f>
        <v>لبن طازج صغير180 مل</v>
      </c>
      <c r="D587" s="2" t="str">
        <f>[1]code!D584</f>
        <v>دعايا وتسويق</v>
      </c>
      <c r="E587" s="1" t="str">
        <f>[1]code!E584</f>
        <v>لتر</v>
      </c>
      <c r="F587" s="2" t="str">
        <f>[1]code!F584</f>
        <v>المراعي</v>
      </c>
      <c r="G587" s="12">
        <f>[1]code!G584</f>
        <v>7.9859999999999998</v>
      </c>
      <c r="I587" s="10">
        <v>7.9858612288888882</v>
      </c>
      <c r="J587" s="10">
        <v>7.9855999999999989</v>
      </c>
      <c r="K587" s="10">
        <v>7.9858612288888882</v>
      </c>
      <c r="L587" s="10">
        <v>7.9858612288888882</v>
      </c>
      <c r="M587" s="10" t="str">
        <f>IFERROR(VLOOKUP($B587,[1]INV!$B$7:$H$2575,7,0),"")</f>
        <v/>
      </c>
      <c r="N587" s="10"/>
      <c r="O587" s="10"/>
      <c r="P587" s="10"/>
      <c r="Q587" s="10"/>
      <c r="R587" s="10"/>
      <c r="S587" s="10"/>
      <c r="T587" s="10"/>
      <c r="U587" s="1">
        <f>IF($I587="",$G587,$I587)</f>
        <v>7.9858612288888882</v>
      </c>
      <c r="V587" s="1">
        <f t="shared" si="36"/>
        <v>7.9855999999999989</v>
      </c>
      <c r="W587" s="1">
        <f t="shared" si="37"/>
        <v>7.9858612288888882</v>
      </c>
      <c r="X587" s="1">
        <f t="shared" si="38"/>
        <v>7.9858612288888882</v>
      </c>
    </row>
    <row r="588" spans="2:24" x14ac:dyDescent="0.25">
      <c r="B588" s="11">
        <f>[1]code!B585</f>
        <v>541</v>
      </c>
      <c r="C588" s="2" t="str">
        <f>[1]code!C585</f>
        <v>كريمة خفق هوبلا</v>
      </c>
      <c r="D588" s="2" t="str">
        <f>[1]code!D585</f>
        <v>مواد غذائية (المشربية)</v>
      </c>
      <c r="E588" s="1" t="str">
        <f>[1]code!E585</f>
        <v>لتر</v>
      </c>
      <c r="F588" s="2" t="str">
        <f>[1]code!F585</f>
        <v>مشتريات مباشرة</v>
      </c>
      <c r="G588" s="12">
        <f>[1]code!G585</f>
        <v>12.65</v>
      </c>
      <c r="I588" s="10">
        <v>12.65</v>
      </c>
      <c r="J588" s="10">
        <v>12.65</v>
      </c>
      <c r="K588" s="10">
        <v>12.65</v>
      </c>
      <c r="L588" s="10">
        <v>12.65</v>
      </c>
      <c r="M588" s="10" t="str">
        <f>IFERROR(VLOOKUP($B588,[1]INV!$B$7:$H$2575,7,0),"")</f>
        <v/>
      </c>
      <c r="N588" s="10"/>
      <c r="O588" s="10"/>
      <c r="P588" s="10"/>
      <c r="Q588" s="10"/>
      <c r="R588" s="10"/>
      <c r="S588" s="10"/>
      <c r="T588" s="10"/>
      <c r="U588" s="1">
        <f>IF($I588="",$G588,$I588)</f>
        <v>12.65</v>
      </c>
      <c r="V588" s="1">
        <f t="shared" si="36"/>
        <v>12.65</v>
      </c>
      <c r="W588" s="1">
        <f t="shared" si="37"/>
        <v>12.65</v>
      </c>
      <c r="X588" s="1">
        <f t="shared" si="38"/>
        <v>12.65</v>
      </c>
    </row>
    <row r="589" spans="2:24" x14ac:dyDescent="0.25">
      <c r="B589" s="11">
        <f>[1]code!B586</f>
        <v>272</v>
      </c>
      <c r="C589" s="2" t="str">
        <f>[1]code!C586</f>
        <v>تيشيرت أسود - المشربية</v>
      </c>
      <c r="D589" s="2" t="str">
        <f>[1]code!D586</f>
        <v>يونيفورم</v>
      </c>
      <c r="E589" s="1" t="str">
        <f>[1]code!E586</f>
        <v>حبة</v>
      </c>
      <c r="F589" s="2">
        <f>[1]code!F586</f>
        <v>0</v>
      </c>
      <c r="G589" s="12">
        <f>[1]code!G586</f>
        <v>34.5</v>
      </c>
      <c r="I589" s="10" t="str">
        <f>IFERROR(VLOOKUP($B589,[1]INV!$B$7:$H$2575,7,0),"")</f>
        <v/>
      </c>
      <c r="J589" s="10" t="s">
        <v>7</v>
      </c>
      <c r="K589" s="10" t="s">
        <v>7</v>
      </c>
      <c r="L589" s="10" t="str">
        <f>IFERROR(VLOOKUP($B589,[1]INV!$B$7:$H$2575,7,0),"")</f>
        <v/>
      </c>
      <c r="M589" s="10" t="str">
        <f>IFERROR(VLOOKUP($B589,[1]INV!$B$7:$H$2575,7,0),"")</f>
        <v/>
      </c>
      <c r="N589" s="10"/>
      <c r="O589" s="10"/>
      <c r="P589" s="10"/>
      <c r="Q589" s="10"/>
      <c r="R589" s="10"/>
      <c r="S589" s="10"/>
      <c r="T589" s="10"/>
      <c r="V589" s="1" t="str">
        <f t="shared" si="36"/>
        <v/>
      </c>
      <c r="W589" s="1" t="str">
        <f t="shared" si="37"/>
        <v/>
      </c>
      <c r="X589" s="1" t="str">
        <f t="shared" si="38"/>
        <v/>
      </c>
    </row>
    <row r="590" spans="2:24" x14ac:dyDescent="0.25">
      <c r="B590" s="11">
        <f>[1]code!B587</f>
        <v>0</v>
      </c>
      <c r="C590" s="2">
        <f>[1]code!C587</f>
        <v>0</v>
      </c>
      <c r="D590" s="2">
        <f>[1]code!D587</f>
        <v>0</v>
      </c>
      <c r="E590" s="1">
        <f>[1]code!E587</f>
        <v>0</v>
      </c>
      <c r="F590" s="2">
        <f>[1]code!F587</f>
        <v>0</v>
      </c>
      <c r="G590" s="12">
        <f>[1]code!G587</f>
        <v>0</v>
      </c>
      <c r="I590" s="10" t="str">
        <f>IFERROR(VLOOKUP($B590,[1]INV!$B$7:$H$2575,7,0),"")</f>
        <v/>
      </c>
      <c r="J590" s="10" t="s">
        <v>7</v>
      </c>
      <c r="K590" s="10" t="s">
        <v>7</v>
      </c>
      <c r="L590" s="10" t="str">
        <f>IFERROR(VLOOKUP($B590,[1]INV!$B$7:$H$2575,7,0),"")</f>
        <v/>
      </c>
      <c r="M590" s="10" t="str">
        <f>IFERROR(VLOOKUP($B590,[1]INV!$B$7:$H$2575,7,0),"")</f>
        <v/>
      </c>
      <c r="N590" s="10"/>
      <c r="O590" s="10"/>
      <c r="P590" s="10"/>
      <c r="Q590" s="10"/>
      <c r="R590" s="10"/>
      <c r="S590" s="10"/>
      <c r="T590" s="10"/>
      <c r="V590" s="1" t="str">
        <f t="shared" si="36"/>
        <v/>
      </c>
      <c r="W590" s="1" t="str">
        <f t="shared" si="37"/>
        <v/>
      </c>
      <c r="X590" s="1" t="str">
        <f t="shared" si="38"/>
        <v/>
      </c>
    </row>
    <row r="591" spans="2:24" x14ac:dyDescent="0.25">
      <c r="B591" s="11">
        <f>[1]code!B588</f>
        <v>0</v>
      </c>
      <c r="C591" s="2">
        <f>[1]code!C588</f>
        <v>0</v>
      </c>
      <c r="D591" s="2">
        <f>[1]code!D588</f>
        <v>0</v>
      </c>
      <c r="E591" s="1">
        <f>[1]code!E588</f>
        <v>0</v>
      </c>
      <c r="F591" s="2">
        <f>[1]code!F588</f>
        <v>0</v>
      </c>
      <c r="G591" s="12">
        <f>[1]code!G588</f>
        <v>0</v>
      </c>
      <c r="I591" s="10" t="str">
        <f>IFERROR(VLOOKUP($B591,[1]INV!$B$7:$H$2575,7,0),"")</f>
        <v/>
      </c>
      <c r="J591" s="10" t="s">
        <v>7</v>
      </c>
      <c r="K591" s="10" t="s">
        <v>7</v>
      </c>
      <c r="L591" s="10" t="str">
        <f>IFERROR(VLOOKUP($B591,[1]INV!$B$7:$H$2575,7,0),"")</f>
        <v/>
      </c>
      <c r="M591" s="10" t="str">
        <f>IFERROR(VLOOKUP($B591,[1]INV!$B$7:$H$2575,7,0),"")</f>
        <v/>
      </c>
      <c r="N591" s="10"/>
      <c r="O591" s="10"/>
      <c r="P591" s="10"/>
      <c r="Q591" s="10"/>
      <c r="R591" s="10"/>
      <c r="S591" s="10"/>
      <c r="T591" s="10"/>
      <c r="V591" s="1" t="str">
        <f t="shared" si="36"/>
        <v/>
      </c>
      <c r="W591" s="1" t="str">
        <f t="shared" si="37"/>
        <v/>
      </c>
      <c r="X591" s="1" t="str">
        <f t="shared" si="38"/>
        <v/>
      </c>
    </row>
    <row r="592" spans="2:24" x14ac:dyDescent="0.25">
      <c r="B592" s="11">
        <f>[1]code!B589</f>
        <v>0</v>
      </c>
      <c r="C592" s="2">
        <f>[1]code!C589</f>
        <v>0</v>
      </c>
      <c r="D592" s="2">
        <f>[1]code!D589</f>
        <v>0</v>
      </c>
      <c r="E592" s="1">
        <f>[1]code!E589</f>
        <v>0</v>
      </c>
      <c r="F592" s="2">
        <f>[1]code!F589</f>
        <v>0</v>
      </c>
      <c r="G592" s="12">
        <f>[1]code!G589</f>
        <v>0</v>
      </c>
      <c r="I592" s="10" t="str">
        <f>IFERROR(VLOOKUP($B592,[1]INV!$B$7:$H$2575,7,0),"")</f>
        <v/>
      </c>
      <c r="J592" s="10" t="s">
        <v>7</v>
      </c>
      <c r="K592" s="10" t="s">
        <v>7</v>
      </c>
      <c r="L592" s="10" t="str">
        <f>IFERROR(VLOOKUP($B592,[1]INV!$B$7:$H$2575,7,0),"")</f>
        <v/>
      </c>
      <c r="M592" s="10" t="str">
        <f>IFERROR(VLOOKUP($B592,[1]INV!$B$7:$H$2575,7,0),"")</f>
        <v/>
      </c>
      <c r="N592" s="10"/>
      <c r="O592" s="10"/>
      <c r="P592" s="10"/>
      <c r="Q592" s="10"/>
      <c r="R592" s="10"/>
      <c r="S592" s="10"/>
      <c r="T592" s="10"/>
      <c r="V592" s="1" t="str">
        <f t="shared" si="36"/>
        <v/>
      </c>
      <c r="W592" s="1" t="str">
        <f t="shared" si="37"/>
        <v/>
      </c>
      <c r="X592" s="1" t="str">
        <f t="shared" si="38"/>
        <v/>
      </c>
    </row>
    <row r="593" spans="2:24" x14ac:dyDescent="0.25">
      <c r="B593" s="11">
        <f>[1]code!B590</f>
        <v>0</v>
      </c>
      <c r="C593" s="2">
        <f>[1]code!C590</f>
        <v>0</v>
      </c>
      <c r="D593" s="2">
        <f>[1]code!D590</f>
        <v>0</v>
      </c>
      <c r="E593" s="1">
        <f>[1]code!E590</f>
        <v>0</v>
      </c>
      <c r="F593" s="2">
        <f>[1]code!F590</f>
        <v>0</v>
      </c>
      <c r="G593" s="12">
        <f>[1]code!G590</f>
        <v>0</v>
      </c>
      <c r="I593" s="10" t="str">
        <f>IFERROR(VLOOKUP($B593,[1]INV!$B$7:$H$2575,7,0),"")</f>
        <v/>
      </c>
      <c r="J593" s="10" t="s">
        <v>7</v>
      </c>
      <c r="K593" s="10" t="s">
        <v>7</v>
      </c>
      <c r="L593" s="10" t="str">
        <f>IFERROR(VLOOKUP($B593,[1]INV!$B$7:$H$2575,7,0),"")</f>
        <v/>
      </c>
      <c r="M593" s="10" t="str">
        <f>IFERROR(VLOOKUP($B593,[1]INV!$B$7:$H$2575,7,0),"")</f>
        <v/>
      </c>
      <c r="N593" s="10"/>
      <c r="O593" s="10"/>
      <c r="P593" s="10"/>
      <c r="Q593" s="10"/>
      <c r="R593" s="10"/>
      <c r="S593" s="10"/>
      <c r="T593" s="10"/>
      <c r="V593" s="1" t="str">
        <f t="shared" si="36"/>
        <v/>
      </c>
      <c r="W593" s="1" t="str">
        <f t="shared" si="37"/>
        <v/>
      </c>
      <c r="X593" s="1" t="str">
        <f t="shared" si="38"/>
        <v/>
      </c>
    </row>
    <row r="594" spans="2:24" x14ac:dyDescent="0.25">
      <c r="B594" s="11">
        <f>[1]code!B591</f>
        <v>0</v>
      </c>
      <c r="C594" s="2">
        <f>[1]code!C591</f>
        <v>0</v>
      </c>
      <c r="D594" s="2">
        <f>[1]code!D591</f>
        <v>0</v>
      </c>
      <c r="E594" s="1">
        <f>[1]code!E591</f>
        <v>0</v>
      </c>
      <c r="F594" s="2">
        <f>[1]code!F591</f>
        <v>0</v>
      </c>
      <c r="G594" s="12">
        <f>[1]code!G591</f>
        <v>0</v>
      </c>
      <c r="I594" s="10" t="str">
        <f>IFERROR(VLOOKUP($B594,[1]INV!$B$7:$H$2575,7,0),"")</f>
        <v/>
      </c>
      <c r="J594" s="10" t="s">
        <v>7</v>
      </c>
      <c r="K594" s="10" t="s">
        <v>7</v>
      </c>
      <c r="L594" s="10" t="str">
        <f>IFERROR(VLOOKUP($B594,[1]INV!$B$7:$H$2575,7,0),"")</f>
        <v/>
      </c>
      <c r="M594" s="10" t="str">
        <f>IFERROR(VLOOKUP($B594,[1]INV!$B$7:$H$2575,7,0),"")</f>
        <v/>
      </c>
      <c r="N594" s="10"/>
      <c r="O594" s="10"/>
      <c r="P594" s="10"/>
      <c r="Q594" s="10"/>
      <c r="R594" s="10"/>
      <c r="S594" s="10"/>
      <c r="T594" s="10"/>
      <c r="V594" s="1" t="str">
        <f t="shared" si="36"/>
        <v/>
      </c>
      <c r="W594" s="1" t="str">
        <f t="shared" si="37"/>
        <v/>
      </c>
      <c r="X594" s="1" t="str">
        <f t="shared" si="38"/>
        <v/>
      </c>
    </row>
    <row r="595" spans="2:24" x14ac:dyDescent="0.25">
      <c r="B595" s="11">
        <f>[1]code!B592</f>
        <v>0</v>
      </c>
      <c r="C595" s="2">
        <f>[1]code!C592</f>
        <v>0</v>
      </c>
      <c r="D595" s="2">
        <f>[1]code!D592</f>
        <v>0</v>
      </c>
      <c r="E595" s="1">
        <f>[1]code!E592</f>
        <v>0</v>
      </c>
      <c r="F595" s="2">
        <f>[1]code!F592</f>
        <v>0</v>
      </c>
      <c r="G595" s="12">
        <f>[1]code!G592</f>
        <v>0</v>
      </c>
      <c r="I595" s="10" t="str">
        <f>IFERROR(VLOOKUP($B595,[1]INV!$B$7:$H$2575,7,0),"")</f>
        <v/>
      </c>
      <c r="J595" s="10" t="s">
        <v>7</v>
      </c>
      <c r="K595" s="10" t="s">
        <v>7</v>
      </c>
      <c r="L595" s="10" t="str">
        <f>IFERROR(VLOOKUP($B595,[1]INV!$B$7:$H$2575,7,0),"")</f>
        <v/>
      </c>
      <c r="M595" s="10" t="str">
        <f>IFERROR(VLOOKUP($B595,[1]INV!$B$7:$H$2575,7,0),"")</f>
        <v/>
      </c>
      <c r="N595" s="10"/>
      <c r="O595" s="10"/>
      <c r="P595" s="10"/>
      <c r="Q595" s="10"/>
      <c r="R595" s="10"/>
      <c r="S595" s="10"/>
      <c r="T595" s="10"/>
      <c r="V595" s="1" t="str">
        <f t="shared" si="36"/>
        <v/>
      </c>
      <c r="W595" s="1" t="str">
        <f t="shared" si="37"/>
        <v/>
      </c>
      <c r="X595" s="1" t="str">
        <f t="shared" si="38"/>
        <v/>
      </c>
    </row>
    <row r="596" spans="2:24" x14ac:dyDescent="0.25">
      <c r="B596" s="11">
        <f>[1]code!B593</f>
        <v>0</v>
      </c>
      <c r="C596" s="2">
        <f>[1]code!C593</f>
        <v>0</v>
      </c>
      <c r="D596" s="2">
        <f>[1]code!D593</f>
        <v>0</v>
      </c>
      <c r="E596" s="1">
        <f>[1]code!E593</f>
        <v>0</v>
      </c>
      <c r="F596" s="2">
        <f>[1]code!F593</f>
        <v>0</v>
      </c>
      <c r="G596" s="12">
        <f>[1]code!G593</f>
        <v>0</v>
      </c>
      <c r="I596" s="10" t="str">
        <f>IFERROR(VLOOKUP($B596,[1]INV!$B$7:$H$2575,7,0),"")</f>
        <v/>
      </c>
      <c r="J596" s="10" t="s">
        <v>7</v>
      </c>
      <c r="K596" s="10" t="s">
        <v>7</v>
      </c>
      <c r="L596" s="10" t="str">
        <f>IFERROR(VLOOKUP($B596,[1]INV!$B$7:$H$2575,7,0),"")</f>
        <v/>
      </c>
      <c r="M596" s="10" t="str">
        <f>IFERROR(VLOOKUP($B596,[1]INV!$B$7:$H$2575,7,0),"")</f>
        <v/>
      </c>
      <c r="N596" s="10"/>
      <c r="O596" s="10"/>
      <c r="P596" s="10"/>
      <c r="Q596" s="10"/>
      <c r="R596" s="10"/>
      <c r="S596" s="10"/>
      <c r="T596" s="10"/>
      <c r="V596" s="1" t="str">
        <f t="shared" si="36"/>
        <v/>
      </c>
      <c r="W596" s="1" t="str">
        <f t="shared" si="37"/>
        <v/>
      </c>
      <c r="X596" s="1" t="str">
        <f t="shared" si="38"/>
        <v/>
      </c>
    </row>
    <row r="597" spans="2:24" x14ac:dyDescent="0.25">
      <c r="B597" s="11">
        <f>[1]code!B594</f>
        <v>0</v>
      </c>
      <c r="C597" s="2">
        <f>[1]code!C594</f>
        <v>0</v>
      </c>
      <c r="D597" s="2">
        <f>[1]code!D594</f>
        <v>0</v>
      </c>
      <c r="E597" s="1">
        <f>[1]code!E594</f>
        <v>0</v>
      </c>
      <c r="F597" s="2">
        <f>[1]code!F594</f>
        <v>0</v>
      </c>
      <c r="G597" s="12">
        <f>[1]code!G594</f>
        <v>0</v>
      </c>
      <c r="I597" s="10" t="str">
        <f>IFERROR(VLOOKUP($B597,[1]INV!$B$7:$H$2575,7,0),"")</f>
        <v/>
      </c>
      <c r="J597" s="10" t="s">
        <v>7</v>
      </c>
      <c r="K597" s="10" t="s">
        <v>7</v>
      </c>
      <c r="L597" s="10"/>
      <c r="M597" s="10" t="str">
        <f>IFERROR(VLOOKUP($B597,[1]INV!$B$7:$H$2575,7,0),"")</f>
        <v/>
      </c>
      <c r="N597" s="10"/>
      <c r="O597" s="10"/>
      <c r="P597" s="10"/>
      <c r="Q597" s="10"/>
      <c r="R597" s="10"/>
      <c r="S597" s="10"/>
      <c r="T597" s="10"/>
      <c r="V597" s="1" t="str">
        <f t="shared" si="36"/>
        <v/>
      </c>
      <c r="W597" s="1" t="str">
        <f t="shared" si="37"/>
        <v/>
      </c>
      <c r="X597" s="1" t="str">
        <f t="shared" si="38"/>
        <v/>
      </c>
    </row>
    <row r="598" spans="2:24" x14ac:dyDescent="0.25">
      <c r="B598" s="11">
        <f>[1]code!B595</f>
        <v>0</v>
      </c>
      <c r="C598" s="2">
        <f>[1]code!C595</f>
        <v>0</v>
      </c>
      <c r="D598" s="2">
        <f>[1]code!D595</f>
        <v>0</v>
      </c>
      <c r="E598" s="1">
        <f>[1]code!E595</f>
        <v>0</v>
      </c>
      <c r="F598" s="2">
        <f>[1]code!F595</f>
        <v>0</v>
      </c>
      <c r="G598" s="12">
        <f>[1]code!G595</f>
        <v>0</v>
      </c>
      <c r="I598" s="10" t="str">
        <f>IFERROR(VLOOKUP($B598,[1]INV!$B$7:$H$2575,7,0),"")</f>
        <v/>
      </c>
      <c r="J598" s="10" t="s">
        <v>7</v>
      </c>
      <c r="K598" s="10" t="s">
        <v>7</v>
      </c>
      <c r="L598" s="10"/>
      <c r="M598" s="10" t="str">
        <f>IFERROR(VLOOKUP($B598,[1]INV!$B$7:$H$2575,7,0),"")</f>
        <v/>
      </c>
      <c r="N598" s="10"/>
      <c r="O598" s="10"/>
      <c r="P598" s="10"/>
      <c r="Q598" s="10"/>
      <c r="R598" s="10"/>
      <c r="S598" s="10"/>
      <c r="T598" s="10"/>
      <c r="V598" s="1" t="str">
        <f t="shared" si="36"/>
        <v/>
      </c>
      <c r="W598" s="1" t="str">
        <f t="shared" si="37"/>
        <v/>
      </c>
      <c r="X598" s="1" t="str">
        <f t="shared" si="38"/>
        <v/>
      </c>
    </row>
    <row r="599" spans="2:24" x14ac:dyDescent="0.25">
      <c r="B599" s="11">
        <f>[1]code!B596</f>
        <v>0</v>
      </c>
      <c r="C599" s="2">
        <f>[1]code!C596</f>
        <v>0</v>
      </c>
      <c r="D599" s="2">
        <f>[1]code!D596</f>
        <v>0</v>
      </c>
      <c r="E599" s="1">
        <f>[1]code!E596</f>
        <v>0</v>
      </c>
      <c r="F599" s="2">
        <f>[1]code!F596</f>
        <v>0</v>
      </c>
      <c r="G599" s="12">
        <f>[1]code!G596</f>
        <v>0</v>
      </c>
      <c r="I599" s="10" t="str">
        <f>IFERROR(VLOOKUP($B599,[1]INV!$B$7:$H$2575,7,0),"")</f>
        <v/>
      </c>
      <c r="J599" s="10" t="s">
        <v>7</v>
      </c>
      <c r="K599" s="10" t="s">
        <v>7</v>
      </c>
      <c r="L599" s="10"/>
      <c r="M599" s="10" t="str">
        <f>IFERROR(VLOOKUP($B599,[1]INV!$B$7:$H$2575,7,0),"")</f>
        <v/>
      </c>
      <c r="N599" s="10"/>
      <c r="O599" s="10"/>
      <c r="P599" s="10"/>
      <c r="Q599" s="10"/>
      <c r="R599" s="10"/>
      <c r="S599" s="10"/>
      <c r="T599" s="10"/>
      <c r="V599" s="1" t="str">
        <f t="shared" si="36"/>
        <v/>
      </c>
      <c r="W599" s="1" t="str">
        <f t="shared" si="37"/>
        <v/>
      </c>
      <c r="X599" s="1" t="str">
        <f t="shared" si="38"/>
        <v/>
      </c>
    </row>
    <row r="600" spans="2:24" x14ac:dyDescent="0.25">
      <c r="B600" s="11">
        <f>[1]code!B597</f>
        <v>0</v>
      </c>
      <c r="C600" s="2">
        <f>[1]code!C597</f>
        <v>0</v>
      </c>
      <c r="D600" s="2">
        <f>[1]code!D597</f>
        <v>0</v>
      </c>
      <c r="E600" s="1">
        <f>[1]code!E597</f>
        <v>0</v>
      </c>
      <c r="F600" s="2">
        <f>[1]code!F597</f>
        <v>0</v>
      </c>
      <c r="G600" s="12">
        <f>[1]code!G597</f>
        <v>0</v>
      </c>
      <c r="I600" s="10" t="str">
        <f>IFERROR(VLOOKUP($B600,[1]INV!$B$7:$H$2575,7,0),"")</f>
        <v/>
      </c>
      <c r="J600" s="10" t="s">
        <v>7</v>
      </c>
      <c r="K600" s="10" t="s">
        <v>7</v>
      </c>
      <c r="L600" s="10"/>
      <c r="M600" s="10" t="str">
        <f>IFERROR(VLOOKUP($B600,[1]INV!$B$7:$H$2575,7,0),"")</f>
        <v/>
      </c>
      <c r="N600" s="10"/>
      <c r="O600" s="10"/>
      <c r="P600" s="10"/>
      <c r="Q600" s="10"/>
      <c r="R600" s="10"/>
      <c r="S600" s="10"/>
      <c r="T600" s="10"/>
      <c r="V600" s="1" t="str">
        <f t="shared" si="36"/>
        <v/>
      </c>
      <c r="W600" s="1" t="str">
        <f t="shared" si="37"/>
        <v/>
      </c>
      <c r="X600" s="1" t="str">
        <f t="shared" si="38"/>
        <v/>
      </c>
    </row>
    <row r="601" spans="2:24" x14ac:dyDescent="0.25">
      <c r="B601" s="11">
        <f>[1]code!B598</f>
        <v>0</v>
      </c>
      <c r="C601" s="2">
        <f>[1]code!C598</f>
        <v>0</v>
      </c>
      <c r="D601" s="2">
        <f>[1]code!D598</f>
        <v>0</v>
      </c>
      <c r="E601" s="1">
        <f>[1]code!E598</f>
        <v>0</v>
      </c>
      <c r="F601" s="2">
        <f>[1]code!F598</f>
        <v>0</v>
      </c>
      <c r="G601" s="12">
        <f>[1]code!G598</f>
        <v>0</v>
      </c>
      <c r="I601" s="10" t="str">
        <f>IFERROR(VLOOKUP($B601,[1]INV!$B$7:$H$2575,7,0),"")</f>
        <v/>
      </c>
      <c r="J601" s="10" t="s">
        <v>7</v>
      </c>
      <c r="K601" s="10" t="s">
        <v>7</v>
      </c>
      <c r="L601" s="10"/>
      <c r="M601" s="10" t="str">
        <f>IFERROR(VLOOKUP($B601,[1]INV!$B$7:$H$2575,7,0),"")</f>
        <v/>
      </c>
      <c r="N601" s="10"/>
      <c r="O601" s="10"/>
      <c r="P601" s="10"/>
      <c r="Q601" s="10"/>
      <c r="R601" s="10"/>
      <c r="S601" s="10"/>
      <c r="T601" s="10"/>
      <c r="V601" s="1" t="str">
        <f t="shared" si="36"/>
        <v/>
      </c>
      <c r="W601" s="1" t="str">
        <f t="shared" si="37"/>
        <v/>
      </c>
      <c r="X601" s="1" t="str">
        <f t="shared" si="38"/>
        <v/>
      </c>
    </row>
    <row r="602" spans="2:24" x14ac:dyDescent="0.25">
      <c r="B602" s="11">
        <f>[1]code!B599</f>
        <v>0</v>
      </c>
      <c r="C602" s="2">
        <f>[1]code!C599</f>
        <v>0</v>
      </c>
      <c r="D602" s="2">
        <f>[1]code!D599</f>
        <v>0</v>
      </c>
      <c r="E602" s="1">
        <f>[1]code!E599</f>
        <v>0</v>
      </c>
      <c r="F602" s="2">
        <f>[1]code!F599</f>
        <v>0</v>
      </c>
      <c r="G602" s="12">
        <f>[1]code!G599</f>
        <v>0</v>
      </c>
      <c r="I602" s="10" t="str">
        <f>IFERROR(VLOOKUP($B602,[1]INV!$B$7:$H$2575,7,0),"")</f>
        <v/>
      </c>
      <c r="J602" s="10" t="s">
        <v>7</v>
      </c>
      <c r="K602" s="10" t="s">
        <v>7</v>
      </c>
      <c r="L602" s="10"/>
      <c r="M602" s="10" t="str">
        <f>IFERROR(VLOOKUP($B602,[1]INV!$B$7:$H$2575,7,0),"")</f>
        <v/>
      </c>
      <c r="N602" s="10"/>
      <c r="O602" s="10"/>
      <c r="P602" s="10"/>
      <c r="Q602" s="10"/>
      <c r="R602" s="10"/>
      <c r="S602" s="10"/>
      <c r="T602" s="10"/>
      <c r="V602" s="1" t="str">
        <f t="shared" si="36"/>
        <v/>
      </c>
      <c r="W602" s="1" t="str">
        <f t="shared" si="37"/>
        <v/>
      </c>
      <c r="X602" s="1" t="str">
        <f t="shared" si="38"/>
        <v/>
      </c>
    </row>
    <row r="603" spans="2:24" x14ac:dyDescent="0.25">
      <c r="B603" s="11">
        <f>[1]code!B600</f>
        <v>0</v>
      </c>
      <c r="C603" s="2">
        <f>[1]code!C600</f>
        <v>0</v>
      </c>
      <c r="D603" s="2">
        <f>[1]code!D600</f>
        <v>0</v>
      </c>
      <c r="E603" s="1">
        <f>[1]code!E600</f>
        <v>0</v>
      </c>
      <c r="F603" s="2">
        <f>[1]code!F600</f>
        <v>0</v>
      </c>
      <c r="G603" s="12">
        <f>[1]code!G600</f>
        <v>0</v>
      </c>
      <c r="I603" s="10" t="str">
        <f>IFERROR(VLOOKUP($B603,[1]INV!$B$7:$H$2575,7,0),"")</f>
        <v/>
      </c>
      <c r="J603" s="10" t="s">
        <v>7</v>
      </c>
      <c r="K603" s="10" t="s">
        <v>7</v>
      </c>
      <c r="L603" s="10"/>
      <c r="M603" s="10" t="str">
        <f>IFERROR(VLOOKUP($B603,[1]INV!$B$7:$H$2575,7,0),"")</f>
        <v/>
      </c>
      <c r="N603" s="10"/>
      <c r="O603" s="10"/>
      <c r="P603" s="10"/>
      <c r="Q603" s="10"/>
      <c r="R603" s="10"/>
      <c r="S603" s="10"/>
      <c r="T603" s="10"/>
      <c r="V603" s="1" t="str">
        <f t="shared" si="36"/>
        <v/>
      </c>
      <c r="W603" s="1" t="str">
        <f t="shared" si="37"/>
        <v/>
      </c>
      <c r="X603" s="1" t="str">
        <f t="shared" si="38"/>
        <v/>
      </c>
    </row>
    <row r="604" spans="2:24" x14ac:dyDescent="0.25">
      <c r="B604" s="11">
        <f>[1]code!B601</f>
        <v>0</v>
      </c>
      <c r="C604" s="2">
        <f>[1]code!C601</f>
        <v>0</v>
      </c>
      <c r="D604" s="2">
        <f>[1]code!D601</f>
        <v>0</v>
      </c>
      <c r="E604" s="1">
        <f>[1]code!E601</f>
        <v>0</v>
      </c>
      <c r="F604" s="2">
        <f>[1]code!F601</f>
        <v>0</v>
      </c>
      <c r="G604" s="12">
        <f>[1]code!G601</f>
        <v>0</v>
      </c>
      <c r="I604" s="10" t="str">
        <f>IFERROR(VLOOKUP($B604,[1]INV!$B$7:$H$2575,7,0),"")</f>
        <v/>
      </c>
      <c r="J604" s="10" t="s">
        <v>7</v>
      </c>
      <c r="K604" s="10" t="s">
        <v>7</v>
      </c>
      <c r="L604" s="10"/>
      <c r="M604" s="10" t="str">
        <f>IFERROR(VLOOKUP($B604,[1]INV!$B$7:$H$2575,7,0),"")</f>
        <v/>
      </c>
      <c r="N604" s="10"/>
      <c r="O604" s="10"/>
      <c r="P604" s="10"/>
      <c r="Q604" s="10"/>
      <c r="R604" s="10"/>
      <c r="S604" s="10"/>
      <c r="T604" s="10"/>
      <c r="V604" s="1" t="str">
        <f t="shared" si="36"/>
        <v/>
      </c>
      <c r="W604" s="1" t="str">
        <f t="shared" si="37"/>
        <v/>
      </c>
      <c r="X604" s="1" t="str">
        <f t="shared" si="38"/>
        <v/>
      </c>
    </row>
    <row r="605" spans="2:24" x14ac:dyDescent="0.25">
      <c r="B605" s="11">
        <f>[1]code!B602</f>
        <v>0</v>
      </c>
      <c r="C605" s="2">
        <f>[1]code!C602</f>
        <v>0</v>
      </c>
      <c r="D605" s="2">
        <f>[1]code!D602</f>
        <v>0</v>
      </c>
      <c r="E605" s="1">
        <f>[1]code!E602</f>
        <v>0</v>
      </c>
      <c r="F605" s="2">
        <f>[1]code!F602</f>
        <v>0</v>
      </c>
      <c r="G605" s="12">
        <f>[1]code!G602</f>
        <v>0</v>
      </c>
      <c r="I605" s="10" t="str">
        <f>IFERROR(VLOOKUP($B605,[1]INV!$B$7:$H$2575,7,0),"")</f>
        <v/>
      </c>
      <c r="J605" s="10" t="s">
        <v>7</v>
      </c>
      <c r="K605" s="10" t="s">
        <v>7</v>
      </c>
      <c r="L605" s="10"/>
      <c r="M605" s="10" t="str">
        <f>IFERROR(VLOOKUP($B605,[1]INV!$B$7:$H$2575,7,0),"")</f>
        <v/>
      </c>
      <c r="N605" s="10"/>
      <c r="O605" s="10"/>
      <c r="P605" s="10"/>
      <c r="Q605" s="10"/>
      <c r="R605" s="10"/>
      <c r="S605" s="10"/>
      <c r="T605" s="10"/>
      <c r="V605" s="1" t="str">
        <f t="shared" si="36"/>
        <v/>
      </c>
      <c r="W605" s="1" t="str">
        <f t="shared" si="37"/>
        <v/>
      </c>
      <c r="X605" s="1" t="str">
        <f t="shared" si="38"/>
        <v/>
      </c>
    </row>
    <row r="606" spans="2:24" x14ac:dyDescent="0.25">
      <c r="B606" s="11">
        <f>[1]code!B603</f>
        <v>0</v>
      </c>
      <c r="C606" s="2">
        <f>[1]code!C603</f>
        <v>0</v>
      </c>
      <c r="D606" s="2">
        <f>[1]code!D603</f>
        <v>0</v>
      </c>
      <c r="E606" s="1">
        <f>[1]code!E603</f>
        <v>0</v>
      </c>
      <c r="F606" s="2">
        <f>[1]code!F603</f>
        <v>0</v>
      </c>
      <c r="G606" s="12">
        <f>[1]code!G603</f>
        <v>0</v>
      </c>
      <c r="I606" s="10" t="str">
        <f>IFERROR(VLOOKUP($B606,[1]INV!$B$7:$H$2575,7,0),"")</f>
        <v/>
      </c>
      <c r="J606" s="10" t="s">
        <v>7</v>
      </c>
      <c r="K606" s="10" t="s">
        <v>7</v>
      </c>
      <c r="L606" s="10"/>
      <c r="M606" s="10" t="str">
        <f>IFERROR(VLOOKUP($B606,[1]INV!$B$7:$H$2575,7,0),"")</f>
        <v/>
      </c>
      <c r="N606" s="10"/>
      <c r="O606" s="10"/>
      <c r="P606" s="10"/>
      <c r="Q606" s="10"/>
      <c r="R606" s="10"/>
      <c r="S606" s="10"/>
      <c r="T606" s="10"/>
      <c r="V606" s="1" t="str">
        <f t="shared" si="36"/>
        <v/>
      </c>
      <c r="W606" s="1" t="str">
        <f t="shared" si="37"/>
        <v/>
      </c>
      <c r="X606" s="1" t="str">
        <f t="shared" si="38"/>
        <v/>
      </c>
    </row>
    <row r="607" spans="2:24" x14ac:dyDescent="0.25">
      <c r="B607" s="11">
        <f>[1]code!B604</f>
        <v>0</v>
      </c>
      <c r="C607" s="2">
        <f>[1]code!C604</f>
        <v>0</v>
      </c>
      <c r="D607" s="2">
        <f>[1]code!D604</f>
        <v>0</v>
      </c>
      <c r="E607" s="1">
        <f>[1]code!E604</f>
        <v>0</v>
      </c>
      <c r="F607" s="2">
        <f>[1]code!F604</f>
        <v>0</v>
      </c>
      <c r="G607" s="12">
        <f>[1]code!G604</f>
        <v>0</v>
      </c>
      <c r="I607" s="10" t="str">
        <f>IFERROR(VLOOKUP($B607,[1]INV!$B$7:$H$2575,7,0),"")</f>
        <v/>
      </c>
      <c r="J607" s="10" t="s">
        <v>7</v>
      </c>
      <c r="K607" s="10" t="s">
        <v>7</v>
      </c>
      <c r="L607" s="10"/>
      <c r="M607" s="10" t="str">
        <f>IFERROR(VLOOKUP($B607,[1]INV!$B$7:$H$2575,7,0),"")</f>
        <v/>
      </c>
      <c r="N607" s="10"/>
      <c r="O607" s="10"/>
      <c r="P607" s="10"/>
      <c r="Q607" s="10"/>
      <c r="R607" s="10"/>
      <c r="S607" s="10"/>
      <c r="T607" s="10"/>
      <c r="V607" s="1" t="str">
        <f t="shared" si="36"/>
        <v/>
      </c>
      <c r="W607" s="1" t="str">
        <f t="shared" si="37"/>
        <v/>
      </c>
      <c r="X607" s="1" t="str">
        <f t="shared" si="38"/>
        <v/>
      </c>
    </row>
    <row r="608" spans="2:24" x14ac:dyDescent="0.25">
      <c r="B608" s="11">
        <f>[1]code!B605</f>
        <v>0</v>
      </c>
      <c r="C608" s="2">
        <f>[1]code!C605</f>
        <v>0</v>
      </c>
      <c r="D608" s="2">
        <f>[1]code!D605</f>
        <v>0</v>
      </c>
      <c r="E608" s="1">
        <f>[1]code!E605</f>
        <v>0</v>
      </c>
      <c r="F608" s="2">
        <f>[1]code!F605</f>
        <v>0</v>
      </c>
      <c r="G608" s="12">
        <f>[1]code!G605</f>
        <v>0</v>
      </c>
      <c r="I608" s="10" t="str">
        <f>IFERROR(VLOOKUP($B608,[1]INV!$B$7:$H$2575,7,0),"")</f>
        <v/>
      </c>
      <c r="J608" s="10" t="s">
        <v>7</v>
      </c>
      <c r="K608" s="10" t="s">
        <v>7</v>
      </c>
      <c r="L608" s="10"/>
      <c r="M608" s="10" t="str">
        <f>IFERROR(VLOOKUP($B608,[1]INV!$B$7:$H$2575,7,0),"")</f>
        <v/>
      </c>
      <c r="N608" s="10"/>
      <c r="O608" s="10"/>
      <c r="P608" s="10"/>
      <c r="Q608" s="10"/>
      <c r="R608" s="10"/>
      <c r="S608" s="10"/>
      <c r="T608" s="10"/>
      <c r="V608" s="1" t="str">
        <f t="shared" si="36"/>
        <v/>
      </c>
      <c r="W608" s="1" t="str">
        <f t="shared" si="37"/>
        <v/>
      </c>
      <c r="X608" s="1" t="str">
        <f t="shared" si="38"/>
        <v/>
      </c>
    </row>
    <row r="609" spans="2:24" x14ac:dyDescent="0.25">
      <c r="B609" s="11">
        <f>[1]code!B606</f>
        <v>0</v>
      </c>
      <c r="C609" s="2">
        <f>[1]code!C606</f>
        <v>0</v>
      </c>
      <c r="D609" s="2">
        <f>[1]code!D606</f>
        <v>0</v>
      </c>
      <c r="E609" s="1">
        <f>[1]code!E606</f>
        <v>0</v>
      </c>
      <c r="F609" s="2">
        <f>[1]code!F606</f>
        <v>0</v>
      </c>
      <c r="G609" s="12">
        <f>[1]code!G606</f>
        <v>0</v>
      </c>
      <c r="I609" s="10" t="str">
        <f>IFERROR(VLOOKUP($B609,[1]INV!$B$7:$H$2575,7,0),"")</f>
        <v/>
      </c>
      <c r="J609" s="10" t="s">
        <v>7</v>
      </c>
      <c r="K609" s="10" t="s">
        <v>7</v>
      </c>
      <c r="L609" s="10"/>
      <c r="M609" s="10" t="str">
        <f>IFERROR(VLOOKUP($B609,[1]INV!$B$7:$H$2575,7,0),"")</f>
        <v/>
      </c>
      <c r="N609" s="10"/>
      <c r="O609" s="10"/>
      <c r="P609" s="10"/>
      <c r="Q609" s="10"/>
      <c r="R609" s="10"/>
      <c r="S609" s="10"/>
      <c r="T609" s="10"/>
      <c r="V609" s="1" t="str">
        <f t="shared" si="36"/>
        <v/>
      </c>
      <c r="W609" s="1" t="str">
        <f t="shared" si="37"/>
        <v/>
      </c>
      <c r="X609" s="1" t="str">
        <f t="shared" si="38"/>
        <v/>
      </c>
    </row>
    <row r="610" spans="2:24" x14ac:dyDescent="0.25">
      <c r="B610" s="11">
        <f>[1]code!B607</f>
        <v>0</v>
      </c>
      <c r="C610" s="2">
        <f>[1]code!C607</f>
        <v>0</v>
      </c>
      <c r="D610" s="2">
        <f>[1]code!D607</f>
        <v>0</v>
      </c>
      <c r="E610" s="1">
        <f>[1]code!E607</f>
        <v>0</v>
      </c>
      <c r="F610" s="2">
        <f>[1]code!F607</f>
        <v>0</v>
      </c>
      <c r="G610" s="12">
        <f>[1]code!G607</f>
        <v>0</v>
      </c>
      <c r="I610" s="10" t="str">
        <f>IFERROR(VLOOKUP($B610,[1]INV!$B$7:$H$2575,7,0),"")</f>
        <v/>
      </c>
      <c r="J610" s="10" t="s">
        <v>7</v>
      </c>
      <c r="K610" s="10" t="s">
        <v>7</v>
      </c>
      <c r="L610" s="10"/>
      <c r="M610" s="10" t="str">
        <f>IFERROR(VLOOKUP($B610,[1]INV!$B$7:$H$2575,7,0),"")</f>
        <v/>
      </c>
      <c r="N610" s="10"/>
      <c r="O610" s="10"/>
      <c r="P610" s="10"/>
      <c r="Q610" s="10"/>
      <c r="R610" s="10"/>
      <c r="S610" s="10"/>
      <c r="T610" s="10"/>
      <c r="V610" s="1" t="str">
        <f t="shared" si="36"/>
        <v/>
      </c>
      <c r="W610" s="1" t="str">
        <f t="shared" si="37"/>
        <v/>
      </c>
      <c r="X610" s="1" t="str">
        <f t="shared" si="38"/>
        <v/>
      </c>
    </row>
    <row r="611" spans="2:24" x14ac:dyDescent="0.25">
      <c r="B611" s="11">
        <f>[1]code!B608</f>
        <v>0</v>
      </c>
      <c r="C611" s="2">
        <f>[1]code!C608</f>
        <v>0</v>
      </c>
      <c r="D611" s="2">
        <f>[1]code!D608</f>
        <v>0</v>
      </c>
      <c r="E611" s="1">
        <f>[1]code!E608</f>
        <v>0</v>
      </c>
      <c r="F611" s="2">
        <f>[1]code!F608</f>
        <v>0</v>
      </c>
      <c r="G611" s="12">
        <f>[1]code!G608</f>
        <v>0</v>
      </c>
      <c r="I611" s="10" t="str">
        <f>IFERROR(VLOOKUP($B611,[1]INV!$B$7:$H$2575,7,0),"")</f>
        <v/>
      </c>
      <c r="J611" s="10" t="s">
        <v>7</v>
      </c>
      <c r="K611" s="10" t="s">
        <v>7</v>
      </c>
      <c r="L611" s="10"/>
      <c r="M611" s="10" t="str">
        <f>IFERROR(VLOOKUP($B611,[1]INV!$B$7:$H$2575,7,0),"")</f>
        <v/>
      </c>
      <c r="N611" s="10"/>
      <c r="O611" s="10"/>
      <c r="P611" s="10"/>
      <c r="Q611" s="10"/>
      <c r="R611" s="10"/>
      <c r="S611" s="10"/>
      <c r="T611" s="10"/>
      <c r="V611" s="1" t="str">
        <f t="shared" si="36"/>
        <v/>
      </c>
      <c r="W611" s="1" t="str">
        <f t="shared" si="37"/>
        <v/>
      </c>
      <c r="X611" s="1" t="str">
        <f t="shared" si="38"/>
        <v/>
      </c>
    </row>
    <row r="612" spans="2:24" x14ac:dyDescent="0.25">
      <c r="B612" s="11">
        <f>[1]code!B609</f>
        <v>0</v>
      </c>
      <c r="C612" s="2">
        <f>[1]code!C609</f>
        <v>0</v>
      </c>
      <c r="D612" s="2">
        <f>[1]code!D609</f>
        <v>0</v>
      </c>
      <c r="E612" s="1">
        <f>[1]code!E609</f>
        <v>0</v>
      </c>
      <c r="F612" s="2">
        <f>[1]code!F609</f>
        <v>0</v>
      </c>
      <c r="G612" s="12">
        <f>[1]code!G609</f>
        <v>0</v>
      </c>
      <c r="I612" s="10" t="str">
        <f>IFERROR(VLOOKUP($B612,[1]INV!$B$7:$H$2575,7,0),"")</f>
        <v/>
      </c>
      <c r="J612" s="10" t="s">
        <v>7</v>
      </c>
      <c r="K612" s="10" t="s">
        <v>7</v>
      </c>
      <c r="L612" s="10"/>
      <c r="M612" s="10" t="str">
        <f>IFERROR(VLOOKUP($B612,[1]INV!$B$7:$H$2575,7,0),"")</f>
        <v/>
      </c>
      <c r="N612" s="10"/>
      <c r="O612" s="10"/>
      <c r="P612" s="10"/>
      <c r="Q612" s="10"/>
      <c r="R612" s="10"/>
      <c r="S612" s="10"/>
      <c r="T612" s="10"/>
      <c r="V612" s="1" t="str">
        <f t="shared" si="36"/>
        <v/>
      </c>
      <c r="W612" s="1" t="str">
        <f t="shared" si="37"/>
        <v/>
      </c>
      <c r="X612" s="1" t="str">
        <f t="shared" si="38"/>
        <v/>
      </c>
    </row>
    <row r="613" spans="2:24" x14ac:dyDescent="0.25">
      <c r="B613" s="11">
        <f>[1]code!B610</f>
        <v>0</v>
      </c>
      <c r="C613" s="2">
        <f>[1]code!C610</f>
        <v>0</v>
      </c>
      <c r="D613" s="2">
        <f>[1]code!D610</f>
        <v>0</v>
      </c>
      <c r="E613" s="1">
        <f>[1]code!E610</f>
        <v>0</v>
      </c>
      <c r="F613" s="2">
        <f>[1]code!F610</f>
        <v>0</v>
      </c>
      <c r="G613" s="12">
        <f>[1]code!G610</f>
        <v>0</v>
      </c>
      <c r="I613" s="10" t="str">
        <f>IFERROR(VLOOKUP($B613,[1]INV!$B$7:$H$2575,7,0),"")</f>
        <v/>
      </c>
      <c r="J613" s="10" t="s">
        <v>7</v>
      </c>
      <c r="K613" s="10" t="s">
        <v>7</v>
      </c>
      <c r="L613" s="10"/>
      <c r="M613" s="10" t="str">
        <f>IFERROR(VLOOKUP($B613,[1]INV!$B$7:$H$2575,7,0),"")</f>
        <v/>
      </c>
      <c r="N613" s="10"/>
      <c r="O613" s="10"/>
      <c r="P613" s="10"/>
      <c r="Q613" s="10"/>
      <c r="R613" s="10"/>
      <c r="S613" s="10"/>
      <c r="T613" s="10"/>
      <c r="V613" s="1" t="str">
        <f t="shared" si="36"/>
        <v/>
      </c>
      <c r="W613" s="1" t="str">
        <f t="shared" si="37"/>
        <v/>
      </c>
      <c r="X613" s="1" t="str">
        <f t="shared" si="38"/>
        <v/>
      </c>
    </row>
    <row r="614" spans="2:24" x14ac:dyDescent="0.25">
      <c r="B614" s="11">
        <f>[1]code!B611</f>
        <v>0</v>
      </c>
      <c r="C614" s="2">
        <f>[1]code!C611</f>
        <v>0</v>
      </c>
      <c r="D614" s="2">
        <f>[1]code!D611</f>
        <v>0</v>
      </c>
      <c r="E614" s="1">
        <f>[1]code!E611</f>
        <v>0</v>
      </c>
      <c r="F614" s="2">
        <f>[1]code!F611</f>
        <v>0</v>
      </c>
      <c r="G614" s="12">
        <f>[1]code!G611</f>
        <v>0</v>
      </c>
      <c r="I614" s="10" t="str">
        <f>IFERROR(VLOOKUP($B614,[1]INV!$B$7:$H$2575,7,0),"")</f>
        <v/>
      </c>
      <c r="J614" s="10" t="s">
        <v>7</v>
      </c>
      <c r="K614" s="10" t="s">
        <v>7</v>
      </c>
      <c r="L614" s="10"/>
      <c r="M614" s="10" t="str">
        <f>IFERROR(VLOOKUP($B614,[1]INV!$B$7:$H$2575,7,0),"")</f>
        <v/>
      </c>
      <c r="N614" s="10"/>
      <c r="O614" s="10"/>
      <c r="P614" s="10"/>
      <c r="Q614" s="10"/>
      <c r="R614" s="10"/>
      <c r="S614" s="10"/>
      <c r="T614" s="10"/>
      <c r="V614" s="1" t="str">
        <f t="shared" si="36"/>
        <v/>
      </c>
      <c r="W614" s="1" t="str">
        <f t="shared" si="37"/>
        <v/>
      </c>
      <c r="X614" s="1" t="str">
        <f t="shared" si="38"/>
        <v/>
      </c>
    </row>
    <row r="615" spans="2:24" x14ac:dyDescent="0.25">
      <c r="B615" s="11">
        <f>[1]code!B612</f>
        <v>0</v>
      </c>
      <c r="C615" s="2">
        <f>[1]code!C612</f>
        <v>0</v>
      </c>
      <c r="D615" s="2">
        <f>[1]code!D612</f>
        <v>0</v>
      </c>
      <c r="E615" s="1">
        <f>[1]code!E612</f>
        <v>0</v>
      </c>
      <c r="F615" s="2">
        <f>[1]code!F612</f>
        <v>0</v>
      </c>
      <c r="G615" s="12">
        <f>[1]code!G612</f>
        <v>0</v>
      </c>
      <c r="I615" s="10" t="str">
        <f>IFERROR(VLOOKUP($B615,[1]INV!$B$7:$H$2575,7,0),"")</f>
        <v/>
      </c>
      <c r="J615" s="10" t="s">
        <v>7</v>
      </c>
      <c r="K615" s="10" t="s">
        <v>7</v>
      </c>
      <c r="L615" s="10"/>
      <c r="M615" s="10" t="str">
        <f>IFERROR(VLOOKUP($B615,[1]INV!$B$7:$H$2575,7,0),"")</f>
        <v/>
      </c>
      <c r="N615" s="10"/>
      <c r="O615" s="10"/>
      <c r="P615" s="10"/>
      <c r="Q615" s="10"/>
      <c r="R615" s="10"/>
      <c r="S615" s="10"/>
      <c r="T615" s="10"/>
      <c r="V615" s="1" t="str">
        <f t="shared" si="36"/>
        <v/>
      </c>
      <c r="W615" s="1" t="str">
        <f t="shared" si="37"/>
        <v/>
      </c>
      <c r="X615" s="1" t="str">
        <f t="shared" si="38"/>
        <v/>
      </c>
    </row>
    <row r="616" spans="2:24" x14ac:dyDescent="0.25">
      <c r="B616" s="11">
        <f>[1]code!B613</f>
        <v>0</v>
      </c>
      <c r="C616" s="2">
        <f>[1]code!C613</f>
        <v>0</v>
      </c>
      <c r="D616" s="2">
        <f>[1]code!D613</f>
        <v>0</v>
      </c>
      <c r="E616" s="1">
        <f>[1]code!E613</f>
        <v>0</v>
      </c>
      <c r="F616" s="2">
        <f>[1]code!F613</f>
        <v>0</v>
      </c>
      <c r="G616" s="12">
        <f>[1]code!G613</f>
        <v>0</v>
      </c>
      <c r="I616" s="10" t="str">
        <f>IFERROR(VLOOKUP($B616,[1]INV!$B$7:$H$2575,7,0),"")</f>
        <v/>
      </c>
      <c r="J616" s="10" t="s">
        <v>7</v>
      </c>
      <c r="K616" s="10" t="s">
        <v>7</v>
      </c>
      <c r="L616" s="10"/>
      <c r="M616" s="10" t="str">
        <f>IFERROR(VLOOKUP($B616,[1]INV!$B$7:$H$2575,7,0),"")</f>
        <v/>
      </c>
      <c r="N616" s="10"/>
      <c r="O616" s="10"/>
      <c r="P616" s="10"/>
      <c r="Q616" s="10"/>
      <c r="R616" s="10"/>
      <c r="S616" s="10"/>
      <c r="T616" s="10"/>
      <c r="V616" s="1" t="str">
        <f t="shared" si="36"/>
        <v/>
      </c>
      <c r="W616" s="1" t="str">
        <f t="shared" si="37"/>
        <v/>
      </c>
      <c r="X616" s="1" t="str">
        <f t="shared" si="38"/>
        <v/>
      </c>
    </row>
    <row r="617" spans="2:24" x14ac:dyDescent="0.25">
      <c r="B617" s="11">
        <f>[1]code!B614</f>
        <v>0</v>
      </c>
      <c r="C617" s="2">
        <f>[1]code!C614</f>
        <v>0</v>
      </c>
      <c r="D617" s="2">
        <f>[1]code!D614</f>
        <v>0</v>
      </c>
      <c r="E617" s="1">
        <f>[1]code!E614</f>
        <v>0</v>
      </c>
      <c r="F617" s="2">
        <f>[1]code!F614</f>
        <v>0</v>
      </c>
      <c r="G617" s="12">
        <f>[1]code!G614</f>
        <v>0</v>
      </c>
      <c r="I617" s="10" t="str">
        <f>IFERROR(VLOOKUP($B617,[1]INV!$B$7:$H$2575,7,0),"")</f>
        <v/>
      </c>
      <c r="J617" s="10" t="s">
        <v>7</v>
      </c>
      <c r="K617" s="10" t="s">
        <v>7</v>
      </c>
      <c r="L617" s="10"/>
      <c r="M617" s="10" t="str">
        <f>IFERROR(VLOOKUP($B617,[1]INV!$B$7:$H$2575,7,0),"")</f>
        <v/>
      </c>
      <c r="N617" s="10"/>
      <c r="O617" s="10"/>
      <c r="P617" s="10"/>
      <c r="Q617" s="10"/>
      <c r="R617" s="10"/>
      <c r="S617" s="10"/>
      <c r="T617" s="10"/>
      <c r="V617" s="1" t="str">
        <f t="shared" si="36"/>
        <v/>
      </c>
      <c r="W617" s="1" t="str">
        <f t="shared" si="37"/>
        <v/>
      </c>
      <c r="X617" s="1" t="str">
        <f t="shared" si="38"/>
        <v/>
      </c>
    </row>
    <row r="618" spans="2:24" x14ac:dyDescent="0.25">
      <c r="B618" s="11">
        <f>[1]code!B615</f>
        <v>0</v>
      </c>
      <c r="C618" s="2">
        <f>[1]code!C615</f>
        <v>0</v>
      </c>
      <c r="D618" s="2">
        <f>[1]code!D615</f>
        <v>0</v>
      </c>
      <c r="E618" s="1">
        <f>[1]code!E615</f>
        <v>0</v>
      </c>
      <c r="F618" s="2">
        <f>[1]code!F615</f>
        <v>0</v>
      </c>
      <c r="G618" s="12">
        <f>[1]code!G615</f>
        <v>0</v>
      </c>
      <c r="I618" s="10" t="str">
        <f>IFERROR(VLOOKUP($B618,[1]INV!$B$7:$H$2575,7,0),"")</f>
        <v/>
      </c>
      <c r="J618" s="10" t="s">
        <v>7</v>
      </c>
      <c r="K618" s="10" t="s">
        <v>7</v>
      </c>
      <c r="L618" s="10"/>
      <c r="M618" s="10" t="str">
        <f>IFERROR(VLOOKUP($B618,[1]INV!$B$7:$H$2575,7,0),"")</f>
        <v/>
      </c>
      <c r="N618" s="10"/>
      <c r="O618" s="10"/>
      <c r="P618" s="10"/>
      <c r="Q618" s="10"/>
      <c r="R618" s="10"/>
      <c r="S618" s="10"/>
      <c r="T618" s="10"/>
      <c r="V618" s="1" t="str">
        <f t="shared" si="36"/>
        <v/>
      </c>
      <c r="W618" s="1" t="str">
        <f t="shared" si="37"/>
        <v/>
      </c>
      <c r="X618" s="1" t="str">
        <f t="shared" si="38"/>
        <v/>
      </c>
    </row>
    <row r="619" spans="2:24" x14ac:dyDescent="0.25">
      <c r="B619" s="11">
        <f>[1]code!B616</f>
        <v>0</v>
      </c>
      <c r="C619" s="2">
        <f>[1]code!C616</f>
        <v>0</v>
      </c>
      <c r="D619" s="2">
        <f>[1]code!D616</f>
        <v>0</v>
      </c>
      <c r="E619" s="1">
        <f>[1]code!E616</f>
        <v>0</v>
      </c>
      <c r="F619" s="2">
        <f>[1]code!F616</f>
        <v>0</v>
      </c>
      <c r="G619" s="12">
        <f>[1]code!G616</f>
        <v>0</v>
      </c>
      <c r="I619" s="10" t="str">
        <f>IFERROR(VLOOKUP($B619,[1]INV!$B$7:$H$2575,7,0),"")</f>
        <v/>
      </c>
      <c r="J619" s="10" t="s">
        <v>7</v>
      </c>
      <c r="K619" s="10" t="s">
        <v>7</v>
      </c>
      <c r="L619" s="10"/>
      <c r="M619" s="10" t="str">
        <f>IFERROR(VLOOKUP($B619,[1]INV!$B$7:$H$2575,7,0),"")</f>
        <v/>
      </c>
      <c r="N619" s="10"/>
      <c r="O619" s="10"/>
      <c r="P619" s="10"/>
      <c r="Q619" s="10"/>
      <c r="R619" s="10"/>
      <c r="S619" s="10"/>
      <c r="T619" s="10"/>
      <c r="V619" s="1" t="str">
        <f t="shared" si="36"/>
        <v/>
      </c>
      <c r="W619" s="1" t="str">
        <f t="shared" si="37"/>
        <v/>
      </c>
      <c r="X619" s="1" t="str">
        <f t="shared" si="38"/>
        <v/>
      </c>
    </row>
    <row r="620" spans="2:24" x14ac:dyDescent="0.25">
      <c r="B620" s="11">
        <f>[1]code!B617</f>
        <v>0</v>
      </c>
      <c r="C620" s="2">
        <f>[1]code!C617</f>
        <v>0</v>
      </c>
      <c r="D620" s="2">
        <f>[1]code!D617</f>
        <v>0</v>
      </c>
      <c r="E620" s="1">
        <f>[1]code!E617</f>
        <v>0</v>
      </c>
      <c r="F620" s="2">
        <f>[1]code!F617</f>
        <v>0</v>
      </c>
      <c r="G620" s="12">
        <f>[1]code!G617</f>
        <v>0</v>
      </c>
      <c r="I620" s="10" t="str">
        <f>IFERROR(VLOOKUP($B620,[1]INV!$B$7:$H$2575,7,0),"")</f>
        <v/>
      </c>
      <c r="J620" s="10" t="s">
        <v>7</v>
      </c>
      <c r="K620" s="10" t="s">
        <v>7</v>
      </c>
      <c r="L620" s="10"/>
      <c r="M620" s="10" t="str">
        <f>IFERROR(VLOOKUP($B620,[1]INV!$B$7:$H$2575,7,0),"")</f>
        <v/>
      </c>
      <c r="N620" s="10"/>
      <c r="O620" s="10"/>
      <c r="P620" s="10"/>
      <c r="Q620" s="10"/>
      <c r="R620" s="10"/>
      <c r="S620" s="10"/>
      <c r="T620" s="10"/>
      <c r="V620" s="1" t="str">
        <f t="shared" si="36"/>
        <v/>
      </c>
      <c r="W620" s="1" t="str">
        <f t="shared" si="37"/>
        <v/>
      </c>
      <c r="X620" s="1" t="str">
        <f t="shared" si="38"/>
        <v/>
      </c>
    </row>
    <row r="621" spans="2:24" x14ac:dyDescent="0.25">
      <c r="B621" s="11">
        <f>[1]code!B618</f>
        <v>0</v>
      </c>
      <c r="C621" s="2">
        <f>[1]code!C618</f>
        <v>0</v>
      </c>
      <c r="D621" s="2">
        <f>[1]code!D618</f>
        <v>0</v>
      </c>
      <c r="E621" s="1">
        <f>[1]code!E618</f>
        <v>0</v>
      </c>
      <c r="F621" s="2">
        <f>[1]code!F618</f>
        <v>0</v>
      </c>
      <c r="G621" s="12">
        <f>[1]code!G618</f>
        <v>0</v>
      </c>
      <c r="I621" s="10" t="str">
        <f>IFERROR(VLOOKUP($B621,[1]INV!$B$7:$H$2575,7,0),"")</f>
        <v/>
      </c>
      <c r="J621" s="10" t="s">
        <v>7</v>
      </c>
      <c r="K621" s="10" t="s">
        <v>7</v>
      </c>
      <c r="L621" s="10"/>
      <c r="M621" s="10" t="str">
        <f>IFERROR(VLOOKUP($B621,[1]INV!$B$7:$H$2575,7,0),"")</f>
        <v/>
      </c>
      <c r="N621" s="10"/>
      <c r="O621" s="10"/>
      <c r="P621" s="10"/>
      <c r="Q621" s="10"/>
      <c r="R621" s="10"/>
      <c r="S621" s="10"/>
      <c r="T621" s="10"/>
      <c r="V621" s="1" t="str">
        <f t="shared" si="36"/>
        <v/>
      </c>
      <c r="W621" s="1" t="str">
        <f t="shared" si="37"/>
        <v/>
      </c>
      <c r="X621" s="1" t="str">
        <f t="shared" si="38"/>
        <v/>
      </c>
    </row>
    <row r="622" spans="2:24" x14ac:dyDescent="0.25">
      <c r="B622" s="11">
        <f>[1]code!B619</f>
        <v>0</v>
      </c>
      <c r="C622" s="2">
        <f>[1]code!C619</f>
        <v>0</v>
      </c>
      <c r="D622" s="2">
        <f>[1]code!D619</f>
        <v>0</v>
      </c>
      <c r="E622" s="1">
        <f>[1]code!E619</f>
        <v>0</v>
      </c>
      <c r="F622" s="2">
        <f>[1]code!F619</f>
        <v>0</v>
      </c>
      <c r="G622" s="12">
        <f>[1]code!G619</f>
        <v>0</v>
      </c>
      <c r="I622" s="10" t="str">
        <f>IFERROR(VLOOKUP($B622,[1]INV!$B$7:$H$2575,7,0),"")</f>
        <v/>
      </c>
      <c r="J622" s="10" t="s">
        <v>7</v>
      </c>
      <c r="K622" s="10" t="s">
        <v>7</v>
      </c>
      <c r="L622" s="10"/>
      <c r="M622" s="10" t="str">
        <f>IFERROR(VLOOKUP($B622,[1]INV!$B$7:$H$2575,7,0),"")</f>
        <v/>
      </c>
      <c r="N622" s="10"/>
      <c r="O622" s="10"/>
      <c r="P622" s="10"/>
      <c r="Q622" s="10"/>
      <c r="R622" s="10"/>
      <c r="S622" s="10"/>
      <c r="T622" s="10"/>
      <c r="V622" s="1" t="str">
        <f t="shared" si="36"/>
        <v/>
      </c>
      <c r="W622" s="1" t="str">
        <f t="shared" si="37"/>
        <v/>
      </c>
      <c r="X622" s="1" t="str">
        <f t="shared" si="38"/>
        <v/>
      </c>
    </row>
    <row r="623" spans="2:24" x14ac:dyDescent="0.25">
      <c r="B623" s="11">
        <f>[1]code!B620</f>
        <v>0</v>
      </c>
      <c r="C623" s="2">
        <f>[1]code!C620</f>
        <v>0</v>
      </c>
      <c r="D623" s="2">
        <f>[1]code!D620</f>
        <v>0</v>
      </c>
      <c r="E623" s="1">
        <f>[1]code!E620</f>
        <v>0</v>
      </c>
      <c r="F623" s="2">
        <f>[1]code!F620</f>
        <v>0</v>
      </c>
      <c r="G623" s="12">
        <f>[1]code!G620</f>
        <v>0</v>
      </c>
      <c r="I623" s="10" t="str">
        <f>IFERROR(VLOOKUP($B623,[1]INV!$B$7:$H$2575,7,0),"")</f>
        <v/>
      </c>
      <c r="J623" s="10" t="s">
        <v>7</v>
      </c>
      <c r="K623" s="10" t="s">
        <v>7</v>
      </c>
      <c r="L623" s="10"/>
      <c r="M623" s="10" t="str">
        <f>IFERROR(VLOOKUP($B623,[1]INV!$B$7:$H$2575,7,0),"")</f>
        <v/>
      </c>
      <c r="N623" s="10"/>
      <c r="O623" s="10"/>
      <c r="P623" s="10"/>
      <c r="Q623" s="10"/>
      <c r="R623" s="10"/>
      <c r="S623" s="10"/>
      <c r="T623" s="10"/>
      <c r="V623" s="1" t="str">
        <f t="shared" si="36"/>
        <v/>
      </c>
      <c r="W623" s="1" t="str">
        <f t="shared" si="37"/>
        <v/>
      </c>
      <c r="X623" s="1" t="str">
        <f t="shared" si="38"/>
        <v/>
      </c>
    </row>
    <row r="624" spans="2:24" x14ac:dyDescent="0.25">
      <c r="B624" s="11">
        <f>[1]code!B621</f>
        <v>0</v>
      </c>
      <c r="C624" s="2">
        <f>[1]code!C621</f>
        <v>0</v>
      </c>
      <c r="D624" s="2">
        <f>[1]code!D621</f>
        <v>0</v>
      </c>
      <c r="E624" s="1">
        <f>[1]code!E621</f>
        <v>0</v>
      </c>
      <c r="F624" s="2">
        <f>[1]code!F621</f>
        <v>0</v>
      </c>
      <c r="G624" s="12">
        <f>[1]code!G621</f>
        <v>0</v>
      </c>
      <c r="I624" s="10" t="str">
        <f>IFERROR(VLOOKUP($B624,[1]INV!$B$7:$H$2575,7,0),"")</f>
        <v/>
      </c>
      <c r="J624" s="10" t="s">
        <v>7</v>
      </c>
      <c r="K624" s="10" t="s">
        <v>7</v>
      </c>
      <c r="L624" s="10"/>
      <c r="M624" s="10" t="str">
        <f>IFERROR(VLOOKUP($B624,[1]INV!$B$7:$H$2575,7,0),"")</f>
        <v/>
      </c>
      <c r="N624" s="10"/>
      <c r="O624" s="10"/>
      <c r="P624" s="10"/>
      <c r="Q624" s="10"/>
      <c r="R624" s="10"/>
      <c r="S624" s="10"/>
      <c r="T624" s="10"/>
      <c r="V624" s="1" t="str">
        <f t="shared" si="36"/>
        <v/>
      </c>
      <c r="W624" s="1" t="str">
        <f t="shared" si="37"/>
        <v/>
      </c>
      <c r="X624" s="1" t="str">
        <f t="shared" si="38"/>
        <v/>
      </c>
    </row>
    <row r="625" spans="2:24" x14ac:dyDescent="0.25">
      <c r="B625" s="11">
        <f>[1]code!B622</f>
        <v>0</v>
      </c>
      <c r="C625" s="2">
        <f>[1]code!C622</f>
        <v>0</v>
      </c>
      <c r="D625" s="2">
        <f>[1]code!D622</f>
        <v>0</v>
      </c>
      <c r="E625" s="1">
        <f>[1]code!E622</f>
        <v>0</v>
      </c>
      <c r="F625" s="2">
        <f>[1]code!F622</f>
        <v>0</v>
      </c>
      <c r="G625" s="12">
        <f>[1]code!G622</f>
        <v>0</v>
      </c>
      <c r="I625" s="10" t="str">
        <f>IFERROR(VLOOKUP($B625,[1]INV!$B$7:$H$2575,7,0),"")</f>
        <v/>
      </c>
      <c r="J625" s="10" t="s">
        <v>7</v>
      </c>
      <c r="K625" s="10" t="s">
        <v>7</v>
      </c>
      <c r="L625" s="10"/>
      <c r="M625" s="10" t="str">
        <f>IFERROR(VLOOKUP($B625,[1]INV!$B$7:$H$2575,7,0),"")</f>
        <v/>
      </c>
      <c r="N625" s="10"/>
      <c r="O625" s="10"/>
      <c r="P625" s="10"/>
      <c r="Q625" s="10"/>
      <c r="R625" s="10"/>
      <c r="S625" s="10"/>
      <c r="T625" s="10"/>
      <c r="V625" s="1" t="str">
        <f t="shared" si="36"/>
        <v/>
      </c>
      <c r="W625" s="1" t="str">
        <f t="shared" si="37"/>
        <v/>
      </c>
      <c r="X625" s="1" t="str">
        <f t="shared" si="38"/>
        <v/>
      </c>
    </row>
    <row r="626" spans="2:24" x14ac:dyDescent="0.25">
      <c r="B626" s="11">
        <f>[1]code!B623</f>
        <v>0</v>
      </c>
      <c r="C626" s="2">
        <f>[1]code!C623</f>
        <v>0</v>
      </c>
      <c r="D626" s="2">
        <f>[1]code!D623</f>
        <v>0</v>
      </c>
      <c r="E626" s="1">
        <f>[1]code!E623</f>
        <v>0</v>
      </c>
      <c r="F626" s="2">
        <f>[1]code!F623</f>
        <v>0</v>
      </c>
      <c r="G626" s="12">
        <f>[1]code!G623</f>
        <v>0</v>
      </c>
      <c r="I626" s="10" t="str">
        <f>IFERROR(VLOOKUP($B626,[1]INV!$B$7:$H$2575,7,0),"")</f>
        <v/>
      </c>
      <c r="J626" s="10" t="s">
        <v>7</v>
      </c>
      <c r="K626" s="10" t="s">
        <v>7</v>
      </c>
      <c r="L626" s="10"/>
      <c r="M626" s="10" t="str">
        <f>IFERROR(VLOOKUP($B626,[1]INV!$B$7:$H$2575,7,0),"")</f>
        <v/>
      </c>
      <c r="N626" s="10"/>
      <c r="O626" s="10"/>
      <c r="P626" s="10"/>
      <c r="Q626" s="10"/>
      <c r="R626" s="10"/>
      <c r="S626" s="10"/>
      <c r="T626" s="10"/>
      <c r="V626" s="1" t="str">
        <f t="shared" si="36"/>
        <v/>
      </c>
      <c r="W626" s="1" t="str">
        <f t="shared" si="37"/>
        <v/>
      </c>
      <c r="X626" s="1" t="str">
        <f t="shared" si="38"/>
        <v/>
      </c>
    </row>
    <row r="627" spans="2:24" x14ac:dyDescent="0.25">
      <c r="B627" s="11">
        <f>[1]code!B624</f>
        <v>0</v>
      </c>
      <c r="C627" s="2">
        <f>[1]code!C624</f>
        <v>0</v>
      </c>
      <c r="D627" s="2">
        <f>[1]code!D624</f>
        <v>0</v>
      </c>
      <c r="E627" s="1">
        <f>[1]code!E624</f>
        <v>0</v>
      </c>
      <c r="F627" s="2">
        <f>[1]code!F624</f>
        <v>0</v>
      </c>
      <c r="G627" s="12">
        <f>[1]code!G624</f>
        <v>0</v>
      </c>
      <c r="I627" s="10" t="str">
        <f>IFERROR(VLOOKUP($B627,[1]INV!$B$7:$H$2575,7,0),"")</f>
        <v/>
      </c>
      <c r="J627" s="10" t="s">
        <v>7</v>
      </c>
      <c r="K627" s="10" t="s">
        <v>7</v>
      </c>
      <c r="L627" s="10"/>
      <c r="M627" s="10" t="str">
        <f>IFERROR(VLOOKUP($B627,[1]INV!$B$7:$H$2575,7,0),"")</f>
        <v/>
      </c>
      <c r="N627" s="10"/>
      <c r="O627" s="10"/>
      <c r="P627" s="10"/>
      <c r="Q627" s="10"/>
      <c r="R627" s="10"/>
      <c r="S627" s="10"/>
      <c r="T627" s="10"/>
      <c r="V627" s="1" t="str">
        <f t="shared" si="36"/>
        <v/>
      </c>
      <c r="W627" s="1" t="str">
        <f t="shared" si="37"/>
        <v/>
      </c>
      <c r="X627" s="1" t="str">
        <f t="shared" si="38"/>
        <v/>
      </c>
    </row>
    <row r="628" spans="2:24" x14ac:dyDescent="0.25">
      <c r="B628" s="11">
        <f>[1]code!B625</f>
        <v>0</v>
      </c>
      <c r="C628" s="2">
        <f>[1]code!C625</f>
        <v>0</v>
      </c>
      <c r="D628" s="2">
        <f>[1]code!D625</f>
        <v>0</v>
      </c>
      <c r="E628" s="1">
        <f>[1]code!E625</f>
        <v>0</v>
      </c>
      <c r="F628" s="2">
        <f>[1]code!F625</f>
        <v>0</v>
      </c>
      <c r="G628" s="12">
        <f>[1]code!G625</f>
        <v>0</v>
      </c>
      <c r="I628" s="10" t="str">
        <f>IFERROR(VLOOKUP($B628,[1]INV!$B$7:$H$2575,7,0),"")</f>
        <v/>
      </c>
      <c r="J628" s="10" t="s">
        <v>7</v>
      </c>
      <c r="K628" s="10" t="s">
        <v>7</v>
      </c>
      <c r="L628" s="10"/>
      <c r="M628" s="10" t="str">
        <f>IFERROR(VLOOKUP($B628,[1]INV!$B$7:$H$2575,7,0),"")</f>
        <v/>
      </c>
      <c r="N628" s="10"/>
      <c r="O628" s="10"/>
      <c r="P628" s="10"/>
      <c r="Q628" s="10"/>
      <c r="R628" s="10"/>
      <c r="S628" s="10"/>
      <c r="T628" s="10"/>
      <c r="V628" s="1" t="str">
        <f t="shared" si="36"/>
        <v/>
      </c>
      <c r="W628" s="1" t="str">
        <f t="shared" si="37"/>
        <v/>
      </c>
      <c r="X628" s="1" t="str">
        <f t="shared" si="38"/>
        <v/>
      </c>
    </row>
    <row r="629" spans="2:24" x14ac:dyDescent="0.25">
      <c r="B629" s="11">
        <f>[1]code!B626</f>
        <v>0</v>
      </c>
      <c r="C629" s="2">
        <f>[1]code!C626</f>
        <v>0</v>
      </c>
      <c r="D629" s="2">
        <f>[1]code!D626</f>
        <v>0</v>
      </c>
      <c r="E629" s="1">
        <f>[1]code!E626</f>
        <v>0</v>
      </c>
      <c r="F629" s="2">
        <f>[1]code!F626</f>
        <v>0</v>
      </c>
      <c r="G629" s="12">
        <f>[1]code!G626</f>
        <v>0</v>
      </c>
      <c r="I629" s="10" t="str">
        <f>IFERROR(VLOOKUP($B629,[1]INV!$B$7:$H$2575,7,0),"")</f>
        <v/>
      </c>
      <c r="J629" s="10" t="s">
        <v>7</v>
      </c>
      <c r="K629" s="10" t="s">
        <v>7</v>
      </c>
      <c r="L629" s="10"/>
      <c r="M629" s="10" t="str">
        <f>IFERROR(VLOOKUP($B629,[1]INV!$B$7:$H$2575,7,0),"")</f>
        <v/>
      </c>
      <c r="N629" s="10"/>
      <c r="O629" s="10"/>
      <c r="P629" s="10"/>
      <c r="Q629" s="10"/>
      <c r="R629" s="10"/>
      <c r="S629" s="10"/>
      <c r="T629" s="10"/>
      <c r="V629" s="1" t="str">
        <f t="shared" si="36"/>
        <v/>
      </c>
      <c r="W629" s="1" t="str">
        <f t="shared" si="37"/>
        <v/>
      </c>
      <c r="X629" s="1" t="str">
        <f t="shared" si="38"/>
        <v/>
      </c>
    </row>
    <row r="630" spans="2:24" x14ac:dyDescent="0.25">
      <c r="B630" s="11">
        <f>[1]code!B627</f>
        <v>0</v>
      </c>
      <c r="C630" s="2">
        <f>[1]code!C627</f>
        <v>0</v>
      </c>
      <c r="D630" s="2">
        <f>[1]code!D627</f>
        <v>0</v>
      </c>
      <c r="E630" s="1">
        <f>[1]code!E627</f>
        <v>0</v>
      </c>
      <c r="F630" s="2">
        <f>[1]code!F627</f>
        <v>0</v>
      </c>
      <c r="G630" s="12">
        <f>[1]code!G627</f>
        <v>0</v>
      </c>
      <c r="I630" s="10" t="str">
        <f>IFERROR(VLOOKUP($B630,[1]INV!$B$7:$H$2575,7,0),"")</f>
        <v/>
      </c>
      <c r="J630" s="10" t="s">
        <v>7</v>
      </c>
      <c r="K630" s="10" t="s">
        <v>7</v>
      </c>
      <c r="L630" s="10"/>
      <c r="M630" s="10" t="str">
        <f>IFERROR(VLOOKUP($B630,[1]INV!$B$7:$H$2575,7,0),"")</f>
        <v/>
      </c>
      <c r="N630" s="10"/>
      <c r="O630" s="10"/>
      <c r="P630" s="10"/>
      <c r="Q630" s="10"/>
      <c r="R630" s="10"/>
      <c r="S630" s="10"/>
      <c r="T630" s="10"/>
      <c r="V630" s="1" t="str">
        <f t="shared" si="36"/>
        <v/>
      </c>
      <c r="W630" s="1" t="str">
        <f t="shared" si="37"/>
        <v/>
      </c>
      <c r="X630" s="1" t="str">
        <f t="shared" si="38"/>
        <v/>
      </c>
    </row>
    <row r="631" spans="2:24" x14ac:dyDescent="0.25">
      <c r="B631" s="11">
        <f>[1]code!B628</f>
        <v>0</v>
      </c>
      <c r="C631" s="2">
        <f>[1]code!C628</f>
        <v>0</v>
      </c>
      <c r="D631" s="2">
        <f>[1]code!D628</f>
        <v>0</v>
      </c>
      <c r="E631" s="1">
        <f>[1]code!E628</f>
        <v>0</v>
      </c>
      <c r="F631" s="2">
        <f>[1]code!F628</f>
        <v>0</v>
      </c>
      <c r="G631" s="12">
        <f>[1]code!G628</f>
        <v>0</v>
      </c>
      <c r="I631" s="10" t="str">
        <f>IFERROR(VLOOKUP($B631,[1]INV!$B$7:$H$2575,7,0),"")</f>
        <v/>
      </c>
      <c r="J631" s="10" t="s">
        <v>7</v>
      </c>
      <c r="K631" s="10" t="s">
        <v>7</v>
      </c>
      <c r="L631" s="10"/>
      <c r="M631" s="10" t="str">
        <f>IFERROR(VLOOKUP($B631,[1]INV!$B$7:$H$2575,7,0),"")</f>
        <v/>
      </c>
      <c r="N631" s="10"/>
      <c r="O631" s="10"/>
      <c r="P631" s="10"/>
      <c r="Q631" s="10"/>
      <c r="R631" s="10"/>
      <c r="S631" s="10"/>
      <c r="T631" s="10"/>
      <c r="V631" s="1" t="str">
        <f t="shared" si="36"/>
        <v/>
      </c>
      <c r="W631" s="1" t="str">
        <f t="shared" si="37"/>
        <v/>
      </c>
      <c r="X631" s="1" t="str">
        <f t="shared" si="38"/>
        <v/>
      </c>
    </row>
    <row r="632" spans="2:24" x14ac:dyDescent="0.25">
      <c r="B632" s="11">
        <f>[1]code!B629</f>
        <v>0</v>
      </c>
      <c r="C632" s="2">
        <f>[1]code!C629</f>
        <v>0</v>
      </c>
      <c r="D632" s="2">
        <f>[1]code!D629</f>
        <v>0</v>
      </c>
      <c r="E632" s="1">
        <f>[1]code!E629</f>
        <v>0</v>
      </c>
      <c r="F632" s="2">
        <f>[1]code!F629</f>
        <v>0</v>
      </c>
      <c r="G632" s="12">
        <f>[1]code!G629</f>
        <v>0</v>
      </c>
      <c r="I632" s="10" t="str">
        <f>IFERROR(VLOOKUP($B632,[1]INV!$B$7:$H$2575,7,0),"")</f>
        <v/>
      </c>
      <c r="J632" s="10" t="s">
        <v>7</v>
      </c>
      <c r="K632" s="10" t="s">
        <v>7</v>
      </c>
      <c r="L632" s="10"/>
      <c r="M632" s="10" t="str">
        <f>IFERROR(VLOOKUP($B632,[1]INV!$B$7:$H$2575,7,0),"")</f>
        <v/>
      </c>
      <c r="N632" s="10"/>
      <c r="O632" s="10"/>
      <c r="P632" s="10"/>
      <c r="Q632" s="10"/>
      <c r="R632" s="10"/>
      <c r="S632" s="10"/>
      <c r="T632" s="10"/>
      <c r="V632" s="1" t="str">
        <f t="shared" si="36"/>
        <v/>
      </c>
      <c r="W632" s="1" t="str">
        <f t="shared" si="37"/>
        <v/>
      </c>
      <c r="X632" s="1" t="str">
        <f t="shared" si="38"/>
        <v/>
      </c>
    </row>
    <row r="633" spans="2:24" x14ac:dyDescent="0.25">
      <c r="B633" s="11">
        <f>[1]code!B630</f>
        <v>0</v>
      </c>
      <c r="C633" s="2">
        <f>[1]code!C630</f>
        <v>0</v>
      </c>
      <c r="D633" s="2">
        <f>[1]code!D630</f>
        <v>0</v>
      </c>
      <c r="E633" s="1">
        <f>[1]code!E630</f>
        <v>0</v>
      </c>
      <c r="F633" s="2">
        <f>[1]code!F630</f>
        <v>0</v>
      </c>
      <c r="G633" s="12">
        <f>[1]code!G630</f>
        <v>0</v>
      </c>
      <c r="I633" s="10" t="str">
        <f>IFERROR(VLOOKUP($B633,[1]INV!$B$7:$H$2575,7,0),"")</f>
        <v/>
      </c>
      <c r="J633" s="10" t="s">
        <v>7</v>
      </c>
      <c r="K633" s="10" t="s">
        <v>7</v>
      </c>
      <c r="L633" s="10"/>
      <c r="M633" s="10" t="str">
        <f>IFERROR(VLOOKUP($B633,[1]INV!$B$7:$H$2575,7,0),"")</f>
        <v/>
      </c>
      <c r="N633" s="10"/>
      <c r="O633" s="10"/>
      <c r="P633" s="10"/>
      <c r="Q633" s="10"/>
      <c r="R633" s="10"/>
      <c r="S633" s="10"/>
      <c r="T633" s="10"/>
      <c r="V633" s="1" t="str">
        <f t="shared" si="36"/>
        <v/>
      </c>
      <c r="W633" s="1" t="str">
        <f t="shared" si="37"/>
        <v/>
      </c>
      <c r="X633" s="1" t="str">
        <f t="shared" si="38"/>
        <v/>
      </c>
    </row>
    <row r="634" spans="2:24" x14ac:dyDescent="0.25">
      <c r="B634" s="11">
        <f>[1]code!B631</f>
        <v>0</v>
      </c>
      <c r="C634" s="2">
        <f>[1]code!C631</f>
        <v>0</v>
      </c>
      <c r="D634" s="2">
        <f>[1]code!D631</f>
        <v>0</v>
      </c>
      <c r="E634" s="1">
        <f>[1]code!E631</f>
        <v>0</v>
      </c>
      <c r="F634" s="2">
        <f>[1]code!F631</f>
        <v>0</v>
      </c>
      <c r="G634" s="12">
        <f>[1]code!G631</f>
        <v>0</v>
      </c>
      <c r="I634" s="10" t="str">
        <f>IFERROR(VLOOKUP($B634,[1]INV!$B$7:$H$2575,7,0),"")</f>
        <v/>
      </c>
      <c r="J634" s="10" t="s">
        <v>7</v>
      </c>
      <c r="K634" s="10" t="s">
        <v>7</v>
      </c>
      <c r="L634" s="10"/>
      <c r="M634" s="10" t="str">
        <f>IFERROR(VLOOKUP($B634,[1]INV!$B$7:$H$2575,7,0),"")</f>
        <v/>
      </c>
      <c r="N634" s="10"/>
      <c r="O634" s="10"/>
      <c r="P634" s="10"/>
      <c r="Q634" s="10"/>
      <c r="R634" s="10"/>
      <c r="S634" s="10"/>
      <c r="T634" s="10"/>
      <c r="V634" s="1" t="str">
        <f t="shared" si="36"/>
        <v/>
      </c>
      <c r="W634" s="1" t="str">
        <f t="shared" si="37"/>
        <v/>
      </c>
      <c r="X634" s="1" t="str">
        <f t="shared" si="38"/>
        <v/>
      </c>
    </row>
    <row r="635" spans="2:24" x14ac:dyDescent="0.25">
      <c r="B635" s="11">
        <f>[1]code!B632</f>
        <v>0</v>
      </c>
      <c r="C635" s="2">
        <f>[1]code!C632</f>
        <v>0</v>
      </c>
      <c r="D635" s="2">
        <f>[1]code!D632</f>
        <v>0</v>
      </c>
      <c r="E635" s="1">
        <f>[1]code!E632</f>
        <v>0</v>
      </c>
      <c r="F635" s="2">
        <f>[1]code!F632</f>
        <v>0</v>
      </c>
      <c r="G635" s="12">
        <f>[1]code!G632</f>
        <v>0</v>
      </c>
      <c r="I635" s="10" t="str">
        <f>IFERROR(VLOOKUP($B635,[1]INV!$B$7:$H$2575,7,0),"")</f>
        <v/>
      </c>
      <c r="J635" s="10" t="s">
        <v>7</v>
      </c>
      <c r="K635" s="10" t="s">
        <v>7</v>
      </c>
      <c r="L635" s="10"/>
      <c r="M635" s="10" t="str">
        <f>IFERROR(VLOOKUP($B635,[1]INV!$B$7:$H$2575,7,0),"")</f>
        <v/>
      </c>
      <c r="N635" s="10"/>
      <c r="O635" s="10"/>
      <c r="P635" s="10"/>
      <c r="Q635" s="10"/>
      <c r="R635" s="10"/>
      <c r="S635" s="10"/>
      <c r="T635" s="10"/>
      <c r="V635" s="1" t="str">
        <f t="shared" si="36"/>
        <v/>
      </c>
      <c r="W635" s="1" t="str">
        <f t="shared" si="37"/>
        <v/>
      </c>
      <c r="X635" s="1" t="str">
        <f t="shared" si="38"/>
        <v/>
      </c>
    </row>
    <row r="636" spans="2:24" x14ac:dyDescent="0.25">
      <c r="B636" s="11">
        <f>[1]code!B633</f>
        <v>0</v>
      </c>
      <c r="C636" s="2">
        <f>[1]code!C633</f>
        <v>0</v>
      </c>
      <c r="D636" s="2">
        <f>[1]code!D633</f>
        <v>0</v>
      </c>
      <c r="E636" s="1">
        <f>[1]code!E633</f>
        <v>0</v>
      </c>
      <c r="F636" s="2">
        <f>[1]code!F633</f>
        <v>0</v>
      </c>
      <c r="G636" s="12">
        <f>[1]code!G633</f>
        <v>0</v>
      </c>
      <c r="I636" s="10" t="str">
        <f>IFERROR(VLOOKUP($B636,[1]INV!$B$7:$H$2575,7,0),"")</f>
        <v/>
      </c>
      <c r="J636" s="10" t="s">
        <v>7</v>
      </c>
      <c r="K636" s="10" t="s">
        <v>7</v>
      </c>
      <c r="L636" s="10"/>
      <c r="M636" s="10" t="str">
        <f>IFERROR(VLOOKUP($B636,[1]INV!$B$7:$H$2575,7,0),"")</f>
        <v/>
      </c>
      <c r="N636" s="10"/>
      <c r="O636" s="10"/>
      <c r="P636" s="10"/>
      <c r="Q636" s="10"/>
      <c r="R636" s="10"/>
      <c r="S636" s="10"/>
      <c r="T636" s="10"/>
      <c r="V636" s="1" t="str">
        <f t="shared" si="36"/>
        <v/>
      </c>
      <c r="W636" s="1" t="str">
        <f t="shared" si="37"/>
        <v/>
      </c>
      <c r="X636" s="1" t="str">
        <f t="shared" si="38"/>
        <v/>
      </c>
    </row>
    <row r="637" spans="2:24" x14ac:dyDescent="0.25">
      <c r="B637" s="11">
        <f>[1]code!B634</f>
        <v>0</v>
      </c>
      <c r="C637" s="2">
        <f>[1]code!C634</f>
        <v>0</v>
      </c>
      <c r="D637" s="2">
        <f>[1]code!D634</f>
        <v>0</v>
      </c>
      <c r="E637" s="1">
        <f>[1]code!E634</f>
        <v>0</v>
      </c>
      <c r="F637" s="2">
        <f>[1]code!F634</f>
        <v>0</v>
      </c>
      <c r="G637" s="12">
        <f>[1]code!G634</f>
        <v>0</v>
      </c>
      <c r="I637" s="10" t="str">
        <f>IFERROR(VLOOKUP($B637,[1]INV!$B$7:$H$2575,7,0),"")</f>
        <v/>
      </c>
      <c r="J637" s="10" t="s">
        <v>7</v>
      </c>
      <c r="K637" s="10" t="s">
        <v>7</v>
      </c>
      <c r="L637" s="10"/>
      <c r="M637" s="10" t="str">
        <f>IFERROR(VLOOKUP($B637,[1]INV!$B$7:$H$2575,7,0),"")</f>
        <v/>
      </c>
      <c r="N637" s="10"/>
      <c r="O637" s="10"/>
      <c r="P637" s="10"/>
      <c r="Q637" s="10"/>
      <c r="R637" s="10"/>
      <c r="S637" s="10"/>
      <c r="T637" s="10"/>
      <c r="V637" s="1" t="str">
        <f t="shared" si="36"/>
        <v/>
      </c>
      <c r="W637" s="1" t="str">
        <f t="shared" si="37"/>
        <v/>
      </c>
      <c r="X637" s="1" t="str">
        <f t="shared" si="38"/>
        <v/>
      </c>
    </row>
    <row r="638" spans="2:24" x14ac:dyDescent="0.25">
      <c r="B638" s="11">
        <f>[1]code!B635</f>
        <v>0</v>
      </c>
      <c r="C638" s="2">
        <f>[1]code!C635</f>
        <v>0</v>
      </c>
      <c r="D638" s="2">
        <f>[1]code!D635</f>
        <v>0</v>
      </c>
      <c r="E638" s="1">
        <f>[1]code!E635</f>
        <v>0</v>
      </c>
      <c r="F638" s="2">
        <f>[1]code!F635</f>
        <v>0</v>
      </c>
      <c r="G638" s="12">
        <f>[1]code!G635</f>
        <v>0</v>
      </c>
      <c r="I638" s="10" t="str">
        <f>IFERROR(VLOOKUP($B638,[1]INV!$B$7:$H$2575,7,0),"")</f>
        <v/>
      </c>
      <c r="J638" s="10" t="s">
        <v>7</v>
      </c>
      <c r="K638" s="10" t="s">
        <v>7</v>
      </c>
      <c r="L638" s="10"/>
      <c r="M638" s="10" t="str">
        <f>IFERROR(VLOOKUP($B638,[1]INV!$B$7:$H$2575,7,0),"")</f>
        <v/>
      </c>
      <c r="N638" s="10"/>
      <c r="O638" s="10"/>
      <c r="P638" s="10"/>
      <c r="Q638" s="10"/>
      <c r="R638" s="10"/>
      <c r="S638" s="10"/>
      <c r="T638" s="10"/>
      <c r="V638" s="1" t="str">
        <f t="shared" si="36"/>
        <v/>
      </c>
      <c r="W638" s="1" t="str">
        <f t="shared" si="37"/>
        <v/>
      </c>
      <c r="X638" s="1" t="str">
        <f t="shared" si="38"/>
        <v/>
      </c>
    </row>
    <row r="639" spans="2:24" x14ac:dyDescent="0.25">
      <c r="B639" s="11">
        <f>[1]code!B636</f>
        <v>0</v>
      </c>
      <c r="C639" s="2">
        <f>[1]code!C636</f>
        <v>0</v>
      </c>
      <c r="D639" s="2">
        <f>[1]code!D636</f>
        <v>0</v>
      </c>
      <c r="E639" s="1">
        <f>[1]code!E636</f>
        <v>0</v>
      </c>
      <c r="F639" s="2">
        <f>[1]code!F636</f>
        <v>0</v>
      </c>
      <c r="G639" s="12">
        <f>[1]code!G636</f>
        <v>0</v>
      </c>
      <c r="I639" s="10" t="str">
        <f>IFERROR(VLOOKUP($B639,[1]INV!$B$7:$H$2575,7,0),"")</f>
        <v/>
      </c>
      <c r="J639" s="10" t="s">
        <v>7</v>
      </c>
      <c r="K639" s="10" t="s">
        <v>7</v>
      </c>
      <c r="L639" s="10"/>
      <c r="M639" s="10" t="str">
        <f>IFERROR(VLOOKUP($B639,[1]INV!$B$7:$H$2575,7,0),"")</f>
        <v/>
      </c>
      <c r="N639" s="10"/>
      <c r="O639" s="10"/>
      <c r="P639" s="10"/>
      <c r="Q639" s="10"/>
      <c r="R639" s="10"/>
      <c r="S639" s="10"/>
      <c r="T639" s="10"/>
      <c r="V639" s="1" t="str">
        <f t="shared" si="36"/>
        <v/>
      </c>
      <c r="W639" s="1" t="str">
        <f t="shared" si="37"/>
        <v/>
      </c>
      <c r="X639" s="1" t="str">
        <f t="shared" si="38"/>
        <v/>
      </c>
    </row>
    <row r="640" spans="2:24" x14ac:dyDescent="0.25">
      <c r="B640" s="11">
        <f>[1]code!B637</f>
        <v>0</v>
      </c>
      <c r="C640" s="2">
        <f>[1]code!C637</f>
        <v>0</v>
      </c>
      <c r="D640" s="2">
        <f>[1]code!D637</f>
        <v>0</v>
      </c>
      <c r="E640" s="1">
        <f>[1]code!E637</f>
        <v>0</v>
      </c>
      <c r="F640" s="2">
        <f>[1]code!F637</f>
        <v>0</v>
      </c>
      <c r="G640" s="12">
        <f>[1]code!G637</f>
        <v>0</v>
      </c>
      <c r="I640" s="10" t="str">
        <f>IFERROR(VLOOKUP($B640,[1]INV!$B$7:$H$2575,7,0),"")</f>
        <v/>
      </c>
      <c r="J640" s="10" t="s">
        <v>7</v>
      </c>
      <c r="K640" s="10" t="s">
        <v>7</v>
      </c>
      <c r="L640" s="10"/>
      <c r="M640" s="10" t="str">
        <f>IFERROR(VLOOKUP($B640,[1]INV!$B$7:$H$2575,7,0),"")</f>
        <v/>
      </c>
      <c r="N640" s="10"/>
      <c r="O640" s="10"/>
      <c r="P640" s="10"/>
      <c r="Q640" s="10"/>
      <c r="R640" s="10"/>
      <c r="S640" s="10"/>
      <c r="T640" s="10"/>
      <c r="V640" s="1" t="str">
        <f t="shared" si="36"/>
        <v/>
      </c>
      <c r="W640" s="1" t="str">
        <f t="shared" si="37"/>
        <v/>
      </c>
      <c r="X640" s="1" t="str">
        <f t="shared" si="38"/>
        <v/>
      </c>
    </row>
    <row r="641" spans="2:24" x14ac:dyDescent="0.25">
      <c r="B641" s="11">
        <f>[1]code!B638</f>
        <v>0</v>
      </c>
      <c r="C641" s="2">
        <f>[1]code!C638</f>
        <v>0</v>
      </c>
      <c r="D641" s="2">
        <f>[1]code!D638</f>
        <v>0</v>
      </c>
      <c r="E641" s="1">
        <f>[1]code!E638</f>
        <v>0</v>
      </c>
      <c r="F641" s="2">
        <f>[1]code!F638</f>
        <v>0</v>
      </c>
      <c r="G641" s="12">
        <f>[1]code!G638</f>
        <v>0</v>
      </c>
      <c r="I641" s="10" t="str">
        <f>IFERROR(VLOOKUP($B641,[1]INV!$B$7:$H$2575,7,0),"")</f>
        <v/>
      </c>
      <c r="J641" s="10" t="s">
        <v>7</v>
      </c>
      <c r="K641" s="10" t="s">
        <v>7</v>
      </c>
      <c r="L641" s="10"/>
      <c r="M641" s="10" t="str">
        <f>IFERROR(VLOOKUP($B641,[1]INV!$B$7:$H$2575,7,0),"")</f>
        <v/>
      </c>
      <c r="N641" s="10"/>
      <c r="O641" s="10"/>
      <c r="P641" s="10"/>
      <c r="Q641" s="10"/>
      <c r="R641" s="10"/>
      <c r="S641" s="10"/>
      <c r="T641" s="10"/>
      <c r="V641" s="1" t="str">
        <f t="shared" si="36"/>
        <v/>
      </c>
      <c r="W641" s="1" t="str">
        <f t="shared" si="37"/>
        <v/>
      </c>
      <c r="X641" s="1" t="str">
        <f t="shared" si="38"/>
        <v/>
      </c>
    </row>
    <row r="642" spans="2:24" x14ac:dyDescent="0.25">
      <c r="B642" s="11">
        <f>[1]code!B639</f>
        <v>0</v>
      </c>
      <c r="C642" s="2">
        <f>[1]code!C639</f>
        <v>0</v>
      </c>
      <c r="D642" s="2">
        <f>[1]code!D639</f>
        <v>0</v>
      </c>
      <c r="E642" s="1">
        <f>[1]code!E639</f>
        <v>0</v>
      </c>
      <c r="F642" s="2">
        <f>[1]code!F639</f>
        <v>0</v>
      </c>
      <c r="G642" s="12">
        <f>[1]code!G639</f>
        <v>0</v>
      </c>
      <c r="I642" s="10" t="str">
        <f>IFERROR(VLOOKUP($B642,[1]INV!$B$7:$H$2575,7,0),"")</f>
        <v/>
      </c>
      <c r="J642" s="10" t="s">
        <v>7</v>
      </c>
      <c r="K642" s="10" t="s">
        <v>7</v>
      </c>
      <c r="L642" s="10"/>
      <c r="M642" s="10" t="str">
        <f>IFERROR(VLOOKUP($B642,[1]INV!$B$7:$H$2575,7,0),"")</f>
        <v/>
      </c>
      <c r="N642" s="10"/>
      <c r="O642" s="10"/>
      <c r="P642" s="10"/>
      <c r="Q642" s="10"/>
      <c r="R642" s="10"/>
      <c r="S642" s="10"/>
      <c r="T642" s="10"/>
      <c r="V642" s="1" t="str">
        <f t="shared" si="36"/>
        <v/>
      </c>
      <c r="W642" s="1" t="str">
        <f t="shared" si="37"/>
        <v/>
      </c>
      <c r="X642" s="1" t="str">
        <f t="shared" si="38"/>
        <v/>
      </c>
    </row>
    <row r="643" spans="2:24" x14ac:dyDescent="0.25">
      <c r="B643" s="11">
        <f>[1]code!B640</f>
        <v>0</v>
      </c>
      <c r="C643" s="2">
        <f>[1]code!C640</f>
        <v>0</v>
      </c>
      <c r="D643" s="2">
        <f>[1]code!D640</f>
        <v>0</v>
      </c>
      <c r="E643" s="1">
        <f>[1]code!E640</f>
        <v>0</v>
      </c>
      <c r="F643" s="2">
        <f>[1]code!F640</f>
        <v>0</v>
      </c>
      <c r="G643" s="12">
        <f>[1]code!G640</f>
        <v>0</v>
      </c>
      <c r="I643" s="10" t="str">
        <f>IFERROR(VLOOKUP($B643,[1]INV!$B$7:$H$2575,7,0),"")</f>
        <v/>
      </c>
      <c r="J643" s="10" t="s">
        <v>7</v>
      </c>
      <c r="K643" s="10" t="s">
        <v>7</v>
      </c>
      <c r="L643" s="10"/>
      <c r="M643" s="10" t="str">
        <f>IFERROR(VLOOKUP($B643,[1]INV!$B$7:$H$2575,7,0),"")</f>
        <v/>
      </c>
      <c r="N643" s="10"/>
      <c r="O643" s="10"/>
      <c r="P643" s="10"/>
      <c r="Q643" s="10"/>
      <c r="R643" s="10"/>
      <c r="S643" s="10"/>
      <c r="T643" s="10"/>
      <c r="V643" s="1" t="str">
        <f t="shared" si="36"/>
        <v/>
      </c>
      <c r="W643" s="1" t="str">
        <f t="shared" si="37"/>
        <v/>
      </c>
      <c r="X643" s="1" t="str">
        <f t="shared" si="38"/>
        <v/>
      </c>
    </row>
    <row r="644" spans="2:24" x14ac:dyDescent="0.25">
      <c r="B644" s="11">
        <f>[1]code!B641</f>
        <v>0</v>
      </c>
      <c r="C644" s="2">
        <f>[1]code!C641</f>
        <v>0</v>
      </c>
      <c r="D644" s="2">
        <f>[1]code!D641</f>
        <v>0</v>
      </c>
      <c r="E644" s="1">
        <f>[1]code!E641</f>
        <v>0</v>
      </c>
      <c r="F644" s="2">
        <f>[1]code!F641</f>
        <v>0</v>
      </c>
      <c r="G644" s="12">
        <f>[1]code!G641</f>
        <v>0</v>
      </c>
      <c r="I644" s="10" t="str">
        <f>IFERROR(VLOOKUP($B644,[1]INV!$B$7:$H$2575,7,0),"")</f>
        <v/>
      </c>
      <c r="J644" s="10" t="s">
        <v>7</v>
      </c>
      <c r="K644" s="10" t="s">
        <v>7</v>
      </c>
      <c r="L644" s="10"/>
      <c r="M644" s="10" t="str">
        <f>IFERROR(VLOOKUP($B644,[1]INV!$B$7:$H$2575,7,0),"")</f>
        <v/>
      </c>
      <c r="N644" s="10"/>
      <c r="O644" s="10"/>
      <c r="P644" s="10"/>
      <c r="Q644" s="10"/>
      <c r="R644" s="10"/>
      <c r="S644" s="10"/>
      <c r="T644" s="10"/>
      <c r="V644" s="1" t="str">
        <f t="shared" si="36"/>
        <v/>
      </c>
      <c r="W644" s="1" t="str">
        <f t="shared" si="37"/>
        <v/>
      </c>
      <c r="X644" s="1" t="str">
        <f t="shared" si="38"/>
        <v/>
      </c>
    </row>
    <row r="645" spans="2:24" x14ac:dyDescent="0.25">
      <c r="B645" s="11">
        <f>[1]code!B642</f>
        <v>0</v>
      </c>
      <c r="C645" s="2">
        <f>[1]code!C642</f>
        <v>0</v>
      </c>
      <c r="D645" s="2">
        <f>[1]code!D642</f>
        <v>0</v>
      </c>
      <c r="E645" s="1">
        <f>[1]code!E642</f>
        <v>0</v>
      </c>
      <c r="F645" s="2">
        <f>[1]code!F642</f>
        <v>0</v>
      </c>
      <c r="G645" s="12">
        <f>[1]code!G642</f>
        <v>0</v>
      </c>
      <c r="I645" s="10" t="str">
        <f>IFERROR(VLOOKUP($B645,[1]INV!$B$7:$H$2575,7,0),"")</f>
        <v/>
      </c>
      <c r="J645" s="10" t="s">
        <v>7</v>
      </c>
      <c r="K645" s="10" t="s">
        <v>7</v>
      </c>
      <c r="L645" s="10"/>
      <c r="M645" s="10" t="str">
        <f>IFERROR(VLOOKUP($B645,[1]INV!$B$7:$H$2575,7,0),"")</f>
        <v/>
      </c>
      <c r="N645" s="10"/>
      <c r="O645" s="10"/>
      <c r="P645" s="10"/>
      <c r="Q645" s="10"/>
      <c r="R645" s="10"/>
      <c r="S645" s="10"/>
      <c r="T645" s="10"/>
      <c r="V645" s="1" t="str">
        <f t="shared" si="36"/>
        <v/>
      </c>
      <c r="W645" s="1" t="str">
        <f t="shared" si="37"/>
        <v/>
      </c>
      <c r="X645" s="1" t="str">
        <f t="shared" si="38"/>
        <v/>
      </c>
    </row>
    <row r="646" spans="2:24" x14ac:dyDescent="0.25">
      <c r="B646" s="11">
        <f>[1]code!B643</f>
        <v>0</v>
      </c>
      <c r="C646" s="2">
        <f>[1]code!C643</f>
        <v>0</v>
      </c>
      <c r="D646" s="2">
        <f>[1]code!D643</f>
        <v>0</v>
      </c>
      <c r="E646" s="1">
        <f>[1]code!E643</f>
        <v>0</v>
      </c>
      <c r="F646" s="2">
        <f>[1]code!F643</f>
        <v>0</v>
      </c>
      <c r="G646" s="12">
        <f>[1]code!G643</f>
        <v>0</v>
      </c>
      <c r="I646" s="10" t="str">
        <f>IFERROR(VLOOKUP($B646,[1]INV!$B$7:$H$2575,7,0),"")</f>
        <v/>
      </c>
      <c r="J646" s="10" t="s">
        <v>7</v>
      </c>
      <c r="K646" s="10" t="s">
        <v>7</v>
      </c>
      <c r="L646" s="10"/>
      <c r="M646" s="10" t="str">
        <f>IFERROR(VLOOKUP($B646,[1]INV!$B$7:$H$2575,7,0),"")</f>
        <v/>
      </c>
      <c r="N646" s="10"/>
      <c r="O646" s="10"/>
      <c r="P646" s="10"/>
      <c r="Q646" s="10"/>
      <c r="R646" s="10"/>
      <c r="S646" s="10"/>
      <c r="T646" s="10"/>
      <c r="V646" s="1" t="str">
        <f t="shared" si="36"/>
        <v/>
      </c>
      <c r="W646" s="1" t="str">
        <f t="shared" si="37"/>
        <v/>
      </c>
      <c r="X646" s="1" t="str">
        <f t="shared" si="38"/>
        <v/>
      </c>
    </row>
    <row r="647" spans="2:24" x14ac:dyDescent="0.25">
      <c r="B647" s="11">
        <f>[1]code!B644</f>
        <v>0</v>
      </c>
      <c r="C647" s="2">
        <f>[1]code!C644</f>
        <v>0</v>
      </c>
      <c r="D647" s="2">
        <f>[1]code!D644</f>
        <v>0</v>
      </c>
      <c r="E647" s="1">
        <f>[1]code!E644</f>
        <v>0</v>
      </c>
      <c r="F647" s="2">
        <f>[1]code!F644</f>
        <v>0</v>
      </c>
      <c r="G647" s="12">
        <f>[1]code!G644</f>
        <v>0</v>
      </c>
      <c r="I647" s="10" t="str">
        <f>IFERROR(VLOOKUP($B647,[1]INV!$B$7:$H$2575,7,0),"")</f>
        <v/>
      </c>
      <c r="J647" s="10" t="s">
        <v>7</v>
      </c>
      <c r="K647" s="10" t="s">
        <v>7</v>
      </c>
      <c r="L647" s="10"/>
      <c r="M647" s="10" t="str">
        <f>IFERROR(VLOOKUP($B647,[1]INV!$B$7:$H$2575,7,0),"")</f>
        <v/>
      </c>
      <c r="N647" s="10"/>
      <c r="O647" s="10"/>
      <c r="P647" s="10"/>
      <c r="Q647" s="10"/>
      <c r="R647" s="10"/>
      <c r="S647" s="10"/>
      <c r="T647" s="10"/>
      <c r="V647" s="1" t="str">
        <f t="shared" si="36"/>
        <v/>
      </c>
      <c r="W647" s="1" t="str">
        <f t="shared" si="37"/>
        <v/>
      </c>
      <c r="X647" s="1" t="str">
        <f t="shared" si="38"/>
        <v/>
      </c>
    </row>
    <row r="648" spans="2:24" x14ac:dyDescent="0.25">
      <c r="B648" s="11">
        <f>[1]code!B645</f>
        <v>0</v>
      </c>
      <c r="C648" s="2">
        <f>[1]code!C645</f>
        <v>0</v>
      </c>
      <c r="D648" s="2">
        <f>[1]code!D645</f>
        <v>0</v>
      </c>
      <c r="E648" s="1">
        <f>[1]code!E645</f>
        <v>0</v>
      </c>
      <c r="F648" s="2">
        <f>[1]code!F645</f>
        <v>0</v>
      </c>
      <c r="G648" s="12">
        <f>[1]code!G645</f>
        <v>0</v>
      </c>
      <c r="I648" s="10" t="str">
        <f>IFERROR(VLOOKUP($B648,[1]INV!$B$7:$H$2575,7,0),"")</f>
        <v/>
      </c>
      <c r="J648" s="10" t="s">
        <v>7</v>
      </c>
      <c r="K648" s="10" t="s">
        <v>7</v>
      </c>
      <c r="L648" s="10"/>
      <c r="M648" s="10" t="str">
        <f>IFERROR(VLOOKUP($B648,[1]INV!$B$7:$H$2575,7,0),"")</f>
        <v/>
      </c>
      <c r="N648" s="10"/>
      <c r="O648" s="10"/>
      <c r="P648" s="10"/>
      <c r="Q648" s="10"/>
      <c r="R648" s="10"/>
      <c r="S648" s="10"/>
      <c r="T648" s="10"/>
      <c r="V648" s="1" t="str">
        <f t="shared" ref="V648:V711" si="39">IF($J648="",$I648,$J648)</f>
        <v/>
      </c>
      <c r="W648" s="1" t="str">
        <f t="shared" ref="W648:W711" si="40">IF($K648="",$J648,$K648)</f>
        <v/>
      </c>
      <c r="X648" s="1" t="str">
        <f t="shared" ref="X648:X711" si="41">IF($L648="",$K648,$L648)</f>
        <v/>
      </c>
    </row>
    <row r="649" spans="2:24" x14ac:dyDescent="0.25">
      <c r="B649" s="11">
        <f>[1]code!B646</f>
        <v>0</v>
      </c>
      <c r="C649" s="2">
        <f>[1]code!C646</f>
        <v>0</v>
      </c>
      <c r="D649" s="2">
        <f>[1]code!D646</f>
        <v>0</v>
      </c>
      <c r="E649" s="1">
        <f>[1]code!E646</f>
        <v>0</v>
      </c>
      <c r="F649" s="2">
        <f>[1]code!F646</f>
        <v>0</v>
      </c>
      <c r="G649" s="12">
        <f>[1]code!G646</f>
        <v>0</v>
      </c>
      <c r="I649" s="10" t="str">
        <f>IFERROR(VLOOKUP($B649,[1]INV!$B$7:$H$2575,7,0),"")</f>
        <v/>
      </c>
      <c r="J649" s="10" t="s">
        <v>7</v>
      </c>
      <c r="K649" s="10" t="s">
        <v>7</v>
      </c>
      <c r="L649" s="10"/>
      <c r="M649" s="10" t="str">
        <f>IFERROR(VLOOKUP($B649,[1]INV!$B$7:$H$2575,7,0),"")</f>
        <v/>
      </c>
      <c r="N649" s="10"/>
      <c r="O649" s="10"/>
      <c r="P649" s="10"/>
      <c r="Q649" s="10"/>
      <c r="R649" s="10"/>
      <c r="S649" s="10"/>
      <c r="T649" s="10"/>
      <c r="V649" s="1" t="str">
        <f t="shared" si="39"/>
        <v/>
      </c>
      <c r="W649" s="1" t="str">
        <f t="shared" si="40"/>
        <v/>
      </c>
      <c r="X649" s="1" t="str">
        <f t="shared" si="41"/>
        <v/>
      </c>
    </row>
    <row r="650" spans="2:24" x14ac:dyDescent="0.25">
      <c r="B650" s="11">
        <f>[1]code!B647</f>
        <v>0</v>
      </c>
      <c r="C650" s="2">
        <f>[1]code!C647</f>
        <v>0</v>
      </c>
      <c r="D650" s="2">
        <f>[1]code!D647</f>
        <v>0</v>
      </c>
      <c r="E650" s="1">
        <f>[1]code!E647</f>
        <v>0</v>
      </c>
      <c r="F650" s="2">
        <f>[1]code!F647</f>
        <v>0</v>
      </c>
      <c r="G650" s="12">
        <f>[1]code!G647</f>
        <v>0</v>
      </c>
      <c r="I650" s="10" t="str">
        <f>IFERROR(VLOOKUP($B650,[1]INV!$B$7:$H$2575,7,0),"")</f>
        <v/>
      </c>
      <c r="J650" s="10" t="s">
        <v>7</v>
      </c>
      <c r="K650" s="10" t="s">
        <v>7</v>
      </c>
      <c r="L650" s="10"/>
      <c r="M650" s="10" t="str">
        <f>IFERROR(VLOOKUP($B650,[1]INV!$B$7:$H$2575,7,0),"")</f>
        <v/>
      </c>
      <c r="N650" s="10"/>
      <c r="O650" s="10"/>
      <c r="P650" s="10"/>
      <c r="Q650" s="10"/>
      <c r="R650" s="10"/>
      <c r="S650" s="10"/>
      <c r="T650" s="10"/>
      <c r="V650" s="1" t="str">
        <f t="shared" si="39"/>
        <v/>
      </c>
      <c r="W650" s="1" t="str">
        <f t="shared" si="40"/>
        <v/>
      </c>
      <c r="X650" s="1" t="str">
        <f t="shared" si="41"/>
        <v/>
      </c>
    </row>
    <row r="651" spans="2:24" x14ac:dyDescent="0.25">
      <c r="B651" s="11">
        <f>[1]code!B648</f>
        <v>0</v>
      </c>
      <c r="C651" s="2">
        <f>[1]code!C648</f>
        <v>0</v>
      </c>
      <c r="D651" s="2">
        <f>[1]code!D648</f>
        <v>0</v>
      </c>
      <c r="E651" s="1">
        <f>[1]code!E648</f>
        <v>0</v>
      </c>
      <c r="F651" s="2">
        <f>[1]code!F648</f>
        <v>0</v>
      </c>
      <c r="G651" s="12">
        <f>[1]code!G648</f>
        <v>0</v>
      </c>
      <c r="I651" s="10" t="str">
        <f>IFERROR(VLOOKUP($B651,[1]INV!$B$7:$H$2575,7,0),"")</f>
        <v/>
      </c>
      <c r="J651" s="10" t="s">
        <v>7</v>
      </c>
      <c r="K651" s="10" t="s">
        <v>7</v>
      </c>
      <c r="L651" s="10"/>
      <c r="M651" s="10" t="str">
        <f>IFERROR(VLOOKUP($B651,[1]INV!$B$7:$H$2575,7,0),"")</f>
        <v/>
      </c>
      <c r="N651" s="10"/>
      <c r="O651" s="10"/>
      <c r="P651" s="10"/>
      <c r="Q651" s="10"/>
      <c r="R651" s="10"/>
      <c r="S651" s="10"/>
      <c r="T651" s="10"/>
      <c r="V651" s="1" t="str">
        <f t="shared" si="39"/>
        <v/>
      </c>
      <c r="W651" s="1" t="str">
        <f t="shared" si="40"/>
        <v/>
      </c>
      <c r="X651" s="1" t="str">
        <f t="shared" si="41"/>
        <v/>
      </c>
    </row>
    <row r="652" spans="2:24" x14ac:dyDescent="0.25">
      <c r="B652" s="11">
        <f>[1]code!B649</f>
        <v>0</v>
      </c>
      <c r="C652" s="2">
        <f>[1]code!C649</f>
        <v>0</v>
      </c>
      <c r="D652" s="2">
        <f>[1]code!D649</f>
        <v>0</v>
      </c>
      <c r="E652" s="1">
        <f>[1]code!E649</f>
        <v>0</v>
      </c>
      <c r="F652" s="2">
        <f>[1]code!F649</f>
        <v>0</v>
      </c>
      <c r="G652" s="12">
        <f>[1]code!G649</f>
        <v>0</v>
      </c>
      <c r="I652" s="10" t="str">
        <f>IFERROR(VLOOKUP($B652,[1]INV!$B$7:$H$2575,7,0),"")</f>
        <v/>
      </c>
      <c r="J652" s="10" t="s">
        <v>7</v>
      </c>
      <c r="K652" s="10" t="s">
        <v>7</v>
      </c>
      <c r="L652" s="10"/>
      <c r="M652" s="10" t="str">
        <f>IFERROR(VLOOKUP($B652,[1]INV!$B$7:$H$2575,7,0),"")</f>
        <v/>
      </c>
      <c r="N652" s="10"/>
      <c r="O652" s="10"/>
      <c r="P652" s="10"/>
      <c r="Q652" s="10"/>
      <c r="R652" s="10"/>
      <c r="S652" s="10"/>
      <c r="T652" s="10"/>
      <c r="V652" s="1" t="str">
        <f t="shared" si="39"/>
        <v/>
      </c>
      <c r="W652" s="1" t="str">
        <f t="shared" si="40"/>
        <v/>
      </c>
      <c r="X652" s="1" t="str">
        <f t="shared" si="41"/>
        <v/>
      </c>
    </row>
    <row r="653" spans="2:24" x14ac:dyDescent="0.25">
      <c r="B653" s="11">
        <f>[1]code!B650</f>
        <v>0</v>
      </c>
      <c r="C653" s="2">
        <f>[1]code!C650</f>
        <v>0</v>
      </c>
      <c r="D653" s="2">
        <f>[1]code!D650</f>
        <v>0</v>
      </c>
      <c r="E653" s="1">
        <f>[1]code!E650</f>
        <v>0</v>
      </c>
      <c r="F653" s="2">
        <f>[1]code!F650</f>
        <v>0</v>
      </c>
      <c r="G653" s="12">
        <f>[1]code!G650</f>
        <v>0</v>
      </c>
      <c r="I653" s="10" t="str">
        <f>IFERROR(VLOOKUP($B653,[1]INV!$B$7:$H$2575,7,0),"")</f>
        <v/>
      </c>
      <c r="J653" s="10" t="s">
        <v>7</v>
      </c>
      <c r="K653" s="10" t="s">
        <v>7</v>
      </c>
      <c r="L653" s="10"/>
      <c r="M653" s="10" t="str">
        <f>IFERROR(VLOOKUP($B653,[1]INV!$B$7:$H$2575,7,0),"")</f>
        <v/>
      </c>
      <c r="N653" s="10"/>
      <c r="O653" s="10"/>
      <c r="P653" s="10"/>
      <c r="Q653" s="10"/>
      <c r="R653" s="10"/>
      <c r="S653" s="10"/>
      <c r="T653" s="10"/>
      <c r="V653" s="1" t="str">
        <f t="shared" si="39"/>
        <v/>
      </c>
      <c r="W653" s="1" t="str">
        <f t="shared" si="40"/>
        <v/>
      </c>
      <c r="X653" s="1" t="str">
        <f t="shared" si="41"/>
        <v/>
      </c>
    </row>
    <row r="654" spans="2:24" x14ac:dyDescent="0.25">
      <c r="B654" s="11">
        <f>[1]code!B651</f>
        <v>0</v>
      </c>
      <c r="C654" s="2">
        <f>[1]code!C651</f>
        <v>0</v>
      </c>
      <c r="D654" s="2">
        <f>[1]code!D651</f>
        <v>0</v>
      </c>
      <c r="E654" s="1">
        <f>[1]code!E651</f>
        <v>0</v>
      </c>
      <c r="F654" s="2">
        <f>[1]code!F651</f>
        <v>0</v>
      </c>
      <c r="G654" s="12">
        <f>[1]code!G651</f>
        <v>0</v>
      </c>
      <c r="I654" s="10" t="str">
        <f>IFERROR(VLOOKUP($B654,[1]INV!$B$7:$H$2575,7,0),"")</f>
        <v/>
      </c>
      <c r="J654" s="10" t="s">
        <v>7</v>
      </c>
      <c r="K654" s="10" t="s">
        <v>7</v>
      </c>
      <c r="L654" s="10"/>
      <c r="M654" s="10" t="str">
        <f>IFERROR(VLOOKUP($B654,[1]INV!$B$7:$H$2575,7,0),"")</f>
        <v/>
      </c>
      <c r="N654" s="10"/>
      <c r="O654" s="10"/>
      <c r="P654" s="10"/>
      <c r="Q654" s="10"/>
      <c r="R654" s="10"/>
      <c r="S654" s="10"/>
      <c r="T654" s="10"/>
      <c r="V654" s="1" t="str">
        <f t="shared" si="39"/>
        <v/>
      </c>
      <c r="W654" s="1" t="str">
        <f t="shared" si="40"/>
        <v/>
      </c>
      <c r="X654" s="1" t="str">
        <f t="shared" si="41"/>
        <v/>
      </c>
    </row>
    <row r="655" spans="2:24" x14ac:dyDescent="0.25">
      <c r="B655" s="11">
        <f>[1]code!B652</f>
        <v>0</v>
      </c>
      <c r="C655" s="2">
        <f>[1]code!C652</f>
        <v>0</v>
      </c>
      <c r="D655" s="2">
        <f>[1]code!D652</f>
        <v>0</v>
      </c>
      <c r="E655" s="1">
        <f>[1]code!E652</f>
        <v>0</v>
      </c>
      <c r="F655" s="2">
        <f>[1]code!F652</f>
        <v>0</v>
      </c>
      <c r="G655" s="12">
        <f>[1]code!G652</f>
        <v>0</v>
      </c>
      <c r="I655" s="10" t="str">
        <f>IFERROR(VLOOKUP($B655,[1]INV!$B$7:$H$2575,7,0),"")</f>
        <v/>
      </c>
      <c r="J655" s="10" t="s">
        <v>7</v>
      </c>
      <c r="K655" s="10" t="s">
        <v>7</v>
      </c>
      <c r="L655" s="10"/>
      <c r="M655" s="10" t="str">
        <f>IFERROR(VLOOKUP($B655,[1]INV!$B$7:$H$2575,7,0),"")</f>
        <v/>
      </c>
      <c r="N655" s="10"/>
      <c r="O655" s="10"/>
      <c r="P655" s="10"/>
      <c r="Q655" s="10"/>
      <c r="R655" s="10"/>
      <c r="S655" s="10"/>
      <c r="T655" s="10"/>
      <c r="V655" s="1" t="str">
        <f t="shared" si="39"/>
        <v/>
      </c>
      <c r="W655" s="1" t="str">
        <f t="shared" si="40"/>
        <v/>
      </c>
      <c r="X655" s="1" t="str">
        <f t="shared" si="41"/>
        <v/>
      </c>
    </row>
    <row r="656" spans="2:24" x14ac:dyDescent="0.25">
      <c r="B656" s="11">
        <f>[1]code!B653</f>
        <v>0</v>
      </c>
      <c r="C656" s="2">
        <f>[1]code!C653</f>
        <v>0</v>
      </c>
      <c r="D656" s="2">
        <f>[1]code!D653</f>
        <v>0</v>
      </c>
      <c r="E656" s="1">
        <f>[1]code!E653</f>
        <v>0</v>
      </c>
      <c r="F656" s="2">
        <f>[1]code!F653</f>
        <v>0</v>
      </c>
      <c r="G656" s="12">
        <f>[1]code!G653</f>
        <v>0</v>
      </c>
      <c r="I656" s="10" t="str">
        <f>IFERROR(VLOOKUP($B656,[1]INV!$B$7:$H$2575,7,0),"")</f>
        <v/>
      </c>
      <c r="J656" s="10" t="s">
        <v>7</v>
      </c>
      <c r="K656" s="10" t="s">
        <v>7</v>
      </c>
      <c r="L656" s="10"/>
      <c r="M656" s="10" t="str">
        <f>IFERROR(VLOOKUP($B656,[1]INV!$B$7:$H$2575,7,0),"")</f>
        <v/>
      </c>
      <c r="N656" s="10"/>
      <c r="O656" s="10"/>
      <c r="P656" s="10"/>
      <c r="Q656" s="10"/>
      <c r="R656" s="10"/>
      <c r="S656" s="10"/>
      <c r="T656" s="10"/>
      <c r="V656" s="1" t="str">
        <f t="shared" si="39"/>
        <v/>
      </c>
      <c r="W656" s="1" t="str">
        <f t="shared" si="40"/>
        <v/>
      </c>
      <c r="X656" s="1" t="str">
        <f t="shared" si="41"/>
        <v/>
      </c>
    </row>
    <row r="657" spans="2:24" x14ac:dyDescent="0.25">
      <c r="B657" s="11">
        <f>[1]code!B654</f>
        <v>0</v>
      </c>
      <c r="C657" s="2">
        <f>[1]code!C654</f>
        <v>0</v>
      </c>
      <c r="D657" s="2">
        <f>[1]code!D654</f>
        <v>0</v>
      </c>
      <c r="E657" s="1">
        <f>[1]code!E654</f>
        <v>0</v>
      </c>
      <c r="F657" s="2">
        <f>[1]code!F654</f>
        <v>0</v>
      </c>
      <c r="G657" s="12">
        <f>[1]code!G654</f>
        <v>0</v>
      </c>
      <c r="I657" s="10" t="str">
        <f>IFERROR(VLOOKUP($B657,[1]INV!$B$7:$H$2575,7,0),"")</f>
        <v/>
      </c>
      <c r="J657" s="10" t="s">
        <v>7</v>
      </c>
      <c r="K657" s="10" t="s">
        <v>7</v>
      </c>
      <c r="L657" s="10"/>
      <c r="M657" s="10" t="str">
        <f>IFERROR(VLOOKUP($B657,[1]INV!$B$7:$H$2575,7,0),"")</f>
        <v/>
      </c>
      <c r="N657" s="10"/>
      <c r="O657" s="10"/>
      <c r="P657" s="10"/>
      <c r="Q657" s="10"/>
      <c r="R657" s="10"/>
      <c r="S657" s="10"/>
      <c r="T657" s="10"/>
      <c r="V657" s="1" t="str">
        <f t="shared" si="39"/>
        <v/>
      </c>
      <c r="W657" s="1" t="str">
        <f t="shared" si="40"/>
        <v/>
      </c>
      <c r="X657" s="1" t="str">
        <f t="shared" si="41"/>
        <v/>
      </c>
    </row>
    <row r="658" spans="2:24" x14ac:dyDescent="0.25">
      <c r="B658" s="11">
        <f>[1]code!B655</f>
        <v>0</v>
      </c>
      <c r="C658" s="2">
        <f>[1]code!C655</f>
        <v>0</v>
      </c>
      <c r="D658" s="2">
        <f>[1]code!D655</f>
        <v>0</v>
      </c>
      <c r="E658" s="1">
        <f>[1]code!E655</f>
        <v>0</v>
      </c>
      <c r="F658" s="2">
        <f>[1]code!F655</f>
        <v>0</v>
      </c>
      <c r="G658" s="12">
        <f>[1]code!G655</f>
        <v>0</v>
      </c>
      <c r="I658" s="10" t="str">
        <f>IFERROR(VLOOKUP($B658,[1]INV!$B$7:$H$2575,7,0),"")</f>
        <v/>
      </c>
      <c r="J658" s="10" t="s">
        <v>7</v>
      </c>
      <c r="K658" s="10" t="s">
        <v>7</v>
      </c>
      <c r="L658" s="10"/>
      <c r="M658" s="10" t="str">
        <f>IFERROR(VLOOKUP($B658,[1]INV!$B$7:$H$2575,7,0),"")</f>
        <v/>
      </c>
      <c r="N658" s="10"/>
      <c r="O658" s="10"/>
      <c r="P658" s="10"/>
      <c r="Q658" s="10"/>
      <c r="R658" s="10"/>
      <c r="S658" s="10"/>
      <c r="T658" s="10"/>
      <c r="V658" s="1" t="str">
        <f t="shared" si="39"/>
        <v/>
      </c>
      <c r="W658" s="1" t="str">
        <f t="shared" si="40"/>
        <v/>
      </c>
      <c r="X658" s="1" t="str">
        <f t="shared" si="41"/>
        <v/>
      </c>
    </row>
    <row r="659" spans="2:24" x14ac:dyDescent="0.25">
      <c r="B659" s="11">
        <f>[1]code!B656</f>
        <v>0</v>
      </c>
      <c r="C659" s="2">
        <f>[1]code!C656</f>
        <v>0</v>
      </c>
      <c r="D659" s="2">
        <f>[1]code!D656</f>
        <v>0</v>
      </c>
      <c r="E659" s="1">
        <f>[1]code!E656</f>
        <v>0</v>
      </c>
      <c r="F659" s="2">
        <f>[1]code!F656</f>
        <v>0</v>
      </c>
      <c r="G659" s="12">
        <f>[1]code!G656</f>
        <v>0</v>
      </c>
      <c r="I659" s="10" t="str">
        <f>IFERROR(VLOOKUP($B659,[1]INV!$B$7:$H$2575,7,0),"")</f>
        <v/>
      </c>
      <c r="J659" s="10" t="s">
        <v>7</v>
      </c>
      <c r="K659" s="10" t="s">
        <v>7</v>
      </c>
      <c r="L659" s="10"/>
      <c r="M659" s="10" t="str">
        <f>IFERROR(VLOOKUP($B659,[1]INV!$B$7:$H$2575,7,0),"")</f>
        <v/>
      </c>
      <c r="N659" s="10"/>
      <c r="O659" s="10"/>
      <c r="P659" s="10"/>
      <c r="Q659" s="10"/>
      <c r="R659" s="10"/>
      <c r="S659" s="10"/>
      <c r="T659" s="10"/>
      <c r="V659" s="1" t="str">
        <f t="shared" si="39"/>
        <v/>
      </c>
      <c r="W659" s="1" t="str">
        <f t="shared" si="40"/>
        <v/>
      </c>
      <c r="X659" s="1" t="str">
        <f t="shared" si="41"/>
        <v/>
      </c>
    </row>
    <row r="660" spans="2:24" x14ac:dyDescent="0.25">
      <c r="B660" s="11">
        <f>[1]code!B657</f>
        <v>0</v>
      </c>
      <c r="C660" s="2">
        <f>[1]code!C657</f>
        <v>0</v>
      </c>
      <c r="D660" s="2">
        <f>[1]code!D657</f>
        <v>0</v>
      </c>
      <c r="E660" s="1">
        <f>[1]code!E657</f>
        <v>0</v>
      </c>
      <c r="F660" s="2">
        <f>[1]code!F657</f>
        <v>0</v>
      </c>
      <c r="G660" s="12">
        <f>[1]code!G657</f>
        <v>0</v>
      </c>
      <c r="I660" s="10" t="str">
        <f>IFERROR(VLOOKUP($B660,[1]INV!$B$7:$H$2575,7,0),"")</f>
        <v/>
      </c>
      <c r="J660" s="10" t="s">
        <v>7</v>
      </c>
      <c r="K660" s="10" t="s">
        <v>7</v>
      </c>
      <c r="L660" s="10"/>
      <c r="M660" s="10" t="str">
        <f>IFERROR(VLOOKUP($B660,[1]INV!$B$7:$H$2575,7,0),"")</f>
        <v/>
      </c>
      <c r="N660" s="10"/>
      <c r="O660" s="10"/>
      <c r="P660" s="10"/>
      <c r="Q660" s="10"/>
      <c r="R660" s="10"/>
      <c r="S660" s="10"/>
      <c r="T660" s="10"/>
      <c r="V660" s="1" t="str">
        <f t="shared" si="39"/>
        <v/>
      </c>
      <c r="W660" s="1" t="str">
        <f t="shared" si="40"/>
        <v/>
      </c>
      <c r="X660" s="1" t="str">
        <f t="shared" si="41"/>
        <v/>
      </c>
    </row>
    <row r="661" spans="2:24" x14ac:dyDescent="0.25">
      <c r="B661" s="11">
        <f>[1]code!B658</f>
        <v>0</v>
      </c>
      <c r="C661" s="2">
        <f>[1]code!C658</f>
        <v>0</v>
      </c>
      <c r="D661" s="2">
        <f>[1]code!D658</f>
        <v>0</v>
      </c>
      <c r="E661" s="1">
        <f>[1]code!E658</f>
        <v>0</v>
      </c>
      <c r="F661" s="2">
        <f>[1]code!F658</f>
        <v>0</v>
      </c>
      <c r="G661" s="12">
        <f>[1]code!G658</f>
        <v>0</v>
      </c>
      <c r="I661" s="10" t="str">
        <f>IFERROR(VLOOKUP($B661,[1]INV!$B$7:$H$2575,7,0),"")</f>
        <v/>
      </c>
      <c r="J661" s="10" t="s">
        <v>7</v>
      </c>
      <c r="K661" s="10" t="s">
        <v>7</v>
      </c>
      <c r="L661" s="10"/>
      <c r="M661" s="10" t="str">
        <f>IFERROR(VLOOKUP($B661,[1]INV!$B$7:$H$2575,7,0),"")</f>
        <v/>
      </c>
      <c r="N661" s="10"/>
      <c r="O661" s="10"/>
      <c r="P661" s="10"/>
      <c r="Q661" s="10"/>
      <c r="R661" s="10"/>
      <c r="S661" s="10"/>
      <c r="T661" s="10"/>
      <c r="V661" s="1" t="str">
        <f t="shared" si="39"/>
        <v/>
      </c>
      <c r="W661" s="1" t="str">
        <f t="shared" si="40"/>
        <v/>
      </c>
      <c r="X661" s="1" t="str">
        <f t="shared" si="41"/>
        <v/>
      </c>
    </row>
    <row r="662" spans="2:24" x14ac:dyDescent="0.25">
      <c r="B662" s="11">
        <f>[1]code!B659</f>
        <v>0</v>
      </c>
      <c r="C662" s="2">
        <f>[1]code!C659</f>
        <v>0</v>
      </c>
      <c r="D662" s="2">
        <f>[1]code!D659</f>
        <v>0</v>
      </c>
      <c r="E662" s="1">
        <f>[1]code!E659</f>
        <v>0</v>
      </c>
      <c r="F662" s="2">
        <f>[1]code!F659</f>
        <v>0</v>
      </c>
      <c r="G662" s="12">
        <f>[1]code!G659</f>
        <v>0</v>
      </c>
      <c r="I662" s="10" t="str">
        <f>IFERROR(VLOOKUP($B662,[1]INV!$B$7:$H$2575,7,0),"")</f>
        <v/>
      </c>
      <c r="J662" s="10" t="s">
        <v>7</v>
      </c>
      <c r="K662" s="10" t="s">
        <v>7</v>
      </c>
      <c r="L662" s="10"/>
      <c r="M662" s="10" t="str">
        <f>IFERROR(VLOOKUP($B662,[1]INV!$B$7:$H$2575,7,0),"")</f>
        <v/>
      </c>
      <c r="N662" s="10"/>
      <c r="O662" s="10"/>
      <c r="P662" s="10"/>
      <c r="Q662" s="10"/>
      <c r="R662" s="10"/>
      <c r="S662" s="10"/>
      <c r="T662" s="10"/>
      <c r="V662" s="1" t="str">
        <f t="shared" si="39"/>
        <v/>
      </c>
      <c r="W662" s="1" t="str">
        <f t="shared" si="40"/>
        <v/>
      </c>
      <c r="X662" s="1" t="str">
        <f t="shared" si="41"/>
        <v/>
      </c>
    </row>
    <row r="663" spans="2:24" x14ac:dyDescent="0.25">
      <c r="B663" s="11">
        <f>[1]code!B660</f>
        <v>0</v>
      </c>
      <c r="C663" s="2">
        <f>[1]code!C660</f>
        <v>0</v>
      </c>
      <c r="D663" s="2">
        <f>[1]code!D660</f>
        <v>0</v>
      </c>
      <c r="E663" s="1">
        <f>[1]code!E660</f>
        <v>0</v>
      </c>
      <c r="F663" s="2">
        <f>[1]code!F660</f>
        <v>0</v>
      </c>
      <c r="G663" s="12">
        <f>[1]code!G660</f>
        <v>0</v>
      </c>
      <c r="I663" s="10" t="str">
        <f>IFERROR(VLOOKUP($B663,[1]INV!$B$7:$H$2575,7,0),"")</f>
        <v/>
      </c>
      <c r="J663" s="10" t="s">
        <v>7</v>
      </c>
      <c r="K663" s="10" t="s">
        <v>7</v>
      </c>
      <c r="L663" s="10"/>
      <c r="M663" s="10" t="str">
        <f>IFERROR(VLOOKUP($B663,[1]INV!$B$7:$H$2575,7,0),"")</f>
        <v/>
      </c>
      <c r="N663" s="10"/>
      <c r="O663" s="10"/>
      <c r="P663" s="10"/>
      <c r="Q663" s="10"/>
      <c r="R663" s="10"/>
      <c r="S663" s="10"/>
      <c r="T663" s="10"/>
      <c r="V663" s="1" t="str">
        <f t="shared" si="39"/>
        <v/>
      </c>
      <c r="W663" s="1" t="str">
        <f t="shared" si="40"/>
        <v/>
      </c>
      <c r="X663" s="1" t="str">
        <f t="shared" si="41"/>
        <v/>
      </c>
    </row>
    <row r="664" spans="2:24" x14ac:dyDescent="0.25">
      <c r="B664" s="11">
        <f>[1]code!B661</f>
        <v>0</v>
      </c>
      <c r="C664" s="2">
        <f>[1]code!C661</f>
        <v>0</v>
      </c>
      <c r="D664" s="2">
        <f>[1]code!D661</f>
        <v>0</v>
      </c>
      <c r="E664" s="1">
        <f>[1]code!E661</f>
        <v>0</v>
      </c>
      <c r="F664" s="2">
        <f>[1]code!F661</f>
        <v>0</v>
      </c>
      <c r="G664" s="12">
        <f>[1]code!G661</f>
        <v>0</v>
      </c>
      <c r="I664" s="10" t="str">
        <f>IFERROR(VLOOKUP($B664,[1]INV!$B$7:$H$2575,7,0),"")</f>
        <v/>
      </c>
      <c r="J664" s="10" t="s">
        <v>7</v>
      </c>
      <c r="K664" s="10" t="s">
        <v>7</v>
      </c>
      <c r="L664" s="10"/>
      <c r="M664" s="10" t="str">
        <f>IFERROR(VLOOKUP($B664,[1]INV!$B$7:$H$2575,7,0),"")</f>
        <v/>
      </c>
      <c r="N664" s="10"/>
      <c r="O664" s="10"/>
      <c r="P664" s="10"/>
      <c r="Q664" s="10"/>
      <c r="R664" s="10"/>
      <c r="S664" s="10"/>
      <c r="T664" s="10"/>
      <c r="V664" s="1" t="str">
        <f t="shared" si="39"/>
        <v/>
      </c>
      <c r="W664" s="1" t="str">
        <f t="shared" si="40"/>
        <v/>
      </c>
      <c r="X664" s="1" t="str">
        <f t="shared" si="41"/>
        <v/>
      </c>
    </row>
    <row r="665" spans="2:24" x14ac:dyDescent="0.25">
      <c r="B665" s="11">
        <f>[1]code!B662</f>
        <v>0</v>
      </c>
      <c r="C665" s="2">
        <f>[1]code!C662</f>
        <v>0</v>
      </c>
      <c r="D665" s="2">
        <f>[1]code!D662</f>
        <v>0</v>
      </c>
      <c r="E665" s="1">
        <f>[1]code!E662</f>
        <v>0</v>
      </c>
      <c r="F665" s="2">
        <f>[1]code!F662</f>
        <v>0</v>
      </c>
      <c r="G665" s="12">
        <f>[1]code!G662</f>
        <v>0</v>
      </c>
      <c r="I665" s="10" t="str">
        <f>IFERROR(VLOOKUP($B665,[1]INV!$B$7:$H$2575,7,0),"")</f>
        <v/>
      </c>
      <c r="J665" s="10" t="s">
        <v>7</v>
      </c>
      <c r="K665" s="10" t="s">
        <v>7</v>
      </c>
      <c r="L665" s="10"/>
      <c r="M665" s="10" t="str">
        <f>IFERROR(VLOOKUP($B665,[1]INV!$B$7:$H$2575,7,0),"")</f>
        <v/>
      </c>
      <c r="N665" s="10"/>
      <c r="O665" s="10"/>
      <c r="P665" s="10"/>
      <c r="Q665" s="10"/>
      <c r="R665" s="10"/>
      <c r="S665" s="10"/>
      <c r="T665" s="10"/>
      <c r="V665" s="1" t="str">
        <f t="shared" si="39"/>
        <v/>
      </c>
      <c r="W665" s="1" t="str">
        <f t="shared" si="40"/>
        <v/>
      </c>
      <c r="X665" s="1" t="str">
        <f t="shared" si="41"/>
        <v/>
      </c>
    </row>
    <row r="666" spans="2:24" x14ac:dyDescent="0.25">
      <c r="B666" s="11">
        <f>[1]code!B663</f>
        <v>0</v>
      </c>
      <c r="C666" s="2">
        <f>[1]code!C663</f>
        <v>0</v>
      </c>
      <c r="D666" s="2">
        <f>[1]code!D663</f>
        <v>0</v>
      </c>
      <c r="E666" s="1">
        <f>[1]code!E663</f>
        <v>0</v>
      </c>
      <c r="F666" s="2">
        <f>[1]code!F663</f>
        <v>0</v>
      </c>
      <c r="G666" s="12">
        <f>[1]code!G663</f>
        <v>0</v>
      </c>
      <c r="I666" s="10" t="str">
        <f>IFERROR(VLOOKUP($B666,[1]INV!$B$7:$H$2575,7,0),"")</f>
        <v/>
      </c>
      <c r="J666" s="10" t="s">
        <v>7</v>
      </c>
      <c r="K666" s="10" t="s">
        <v>7</v>
      </c>
      <c r="L666" s="10"/>
      <c r="M666" s="10" t="str">
        <f>IFERROR(VLOOKUP($B666,[1]INV!$B$7:$H$2575,7,0),"")</f>
        <v/>
      </c>
      <c r="N666" s="10"/>
      <c r="O666" s="10"/>
      <c r="P666" s="10"/>
      <c r="Q666" s="10"/>
      <c r="R666" s="10"/>
      <c r="S666" s="10"/>
      <c r="T666" s="10"/>
      <c r="V666" s="1" t="str">
        <f t="shared" si="39"/>
        <v/>
      </c>
      <c r="W666" s="1" t="str">
        <f t="shared" si="40"/>
        <v/>
      </c>
      <c r="X666" s="1" t="str">
        <f t="shared" si="41"/>
        <v/>
      </c>
    </row>
    <row r="667" spans="2:24" x14ac:dyDescent="0.25">
      <c r="B667" s="11">
        <f>[1]code!B664</f>
        <v>0</v>
      </c>
      <c r="C667" s="2">
        <f>[1]code!C664</f>
        <v>0</v>
      </c>
      <c r="D667" s="2">
        <f>[1]code!D664</f>
        <v>0</v>
      </c>
      <c r="E667" s="1">
        <f>[1]code!E664</f>
        <v>0</v>
      </c>
      <c r="F667" s="2">
        <f>[1]code!F664</f>
        <v>0</v>
      </c>
      <c r="G667" s="12">
        <f>[1]code!G664</f>
        <v>0</v>
      </c>
      <c r="I667" s="10" t="str">
        <f>IFERROR(VLOOKUP($B667,[1]INV!$B$7:$H$2575,7,0),"")</f>
        <v/>
      </c>
      <c r="J667" s="10" t="s">
        <v>7</v>
      </c>
      <c r="K667" s="10" t="s">
        <v>7</v>
      </c>
      <c r="L667" s="10"/>
      <c r="M667" s="10" t="str">
        <f>IFERROR(VLOOKUP($B667,[1]INV!$B$7:$H$2575,7,0),"")</f>
        <v/>
      </c>
      <c r="N667" s="10"/>
      <c r="O667" s="10"/>
      <c r="P667" s="10"/>
      <c r="Q667" s="10"/>
      <c r="R667" s="10"/>
      <c r="S667" s="10"/>
      <c r="T667" s="10"/>
      <c r="V667" s="1" t="str">
        <f t="shared" si="39"/>
        <v/>
      </c>
      <c r="W667" s="1" t="str">
        <f t="shared" si="40"/>
        <v/>
      </c>
      <c r="X667" s="1" t="str">
        <f t="shared" si="41"/>
        <v/>
      </c>
    </row>
    <row r="668" spans="2:24" x14ac:dyDescent="0.25">
      <c r="B668" s="11">
        <f>[1]code!B665</f>
        <v>0</v>
      </c>
      <c r="C668" s="2">
        <f>[1]code!C665</f>
        <v>0</v>
      </c>
      <c r="D668" s="2">
        <f>[1]code!D665</f>
        <v>0</v>
      </c>
      <c r="E668" s="1">
        <f>[1]code!E665</f>
        <v>0</v>
      </c>
      <c r="F668" s="2">
        <f>[1]code!F665</f>
        <v>0</v>
      </c>
      <c r="G668" s="12">
        <f>[1]code!G665</f>
        <v>0</v>
      </c>
      <c r="I668" s="10" t="str">
        <f>IFERROR(VLOOKUP($B668,[1]INV!$B$7:$H$2575,7,0),"")</f>
        <v/>
      </c>
      <c r="J668" s="10" t="s">
        <v>7</v>
      </c>
      <c r="K668" s="10" t="s">
        <v>7</v>
      </c>
      <c r="L668" s="10"/>
      <c r="M668" s="10" t="str">
        <f>IFERROR(VLOOKUP($B668,[1]INV!$B$7:$H$2575,7,0),"")</f>
        <v/>
      </c>
      <c r="N668" s="10"/>
      <c r="O668" s="10"/>
      <c r="P668" s="10"/>
      <c r="Q668" s="10"/>
      <c r="R668" s="10"/>
      <c r="S668" s="10"/>
      <c r="T668" s="10"/>
      <c r="V668" s="1" t="str">
        <f t="shared" si="39"/>
        <v/>
      </c>
      <c r="W668" s="1" t="str">
        <f t="shared" si="40"/>
        <v/>
      </c>
      <c r="X668" s="1" t="str">
        <f t="shared" si="41"/>
        <v/>
      </c>
    </row>
    <row r="669" spans="2:24" x14ac:dyDescent="0.25">
      <c r="B669" s="11">
        <f>[1]code!B666</f>
        <v>0</v>
      </c>
      <c r="C669" s="2">
        <f>[1]code!C666</f>
        <v>0</v>
      </c>
      <c r="D669" s="2">
        <f>[1]code!D666</f>
        <v>0</v>
      </c>
      <c r="E669" s="1">
        <f>[1]code!E666</f>
        <v>0</v>
      </c>
      <c r="F669" s="2">
        <f>[1]code!F666</f>
        <v>0</v>
      </c>
      <c r="G669" s="12">
        <f>[1]code!G666</f>
        <v>0</v>
      </c>
      <c r="I669" s="10" t="str">
        <f>IFERROR(VLOOKUP($B669,[1]INV!$B$7:$H$2575,7,0),"")</f>
        <v/>
      </c>
      <c r="J669" s="10" t="s">
        <v>7</v>
      </c>
      <c r="K669" s="10" t="s">
        <v>7</v>
      </c>
      <c r="L669" s="10"/>
      <c r="M669" s="10" t="str">
        <f>IFERROR(VLOOKUP($B669,[1]INV!$B$7:$H$2575,7,0),"")</f>
        <v/>
      </c>
      <c r="N669" s="10"/>
      <c r="O669" s="10"/>
      <c r="P669" s="10"/>
      <c r="Q669" s="10"/>
      <c r="R669" s="10"/>
      <c r="S669" s="10"/>
      <c r="T669" s="10"/>
      <c r="V669" s="1" t="str">
        <f t="shared" si="39"/>
        <v/>
      </c>
      <c r="W669" s="1" t="str">
        <f t="shared" si="40"/>
        <v/>
      </c>
      <c r="X669" s="1" t="str">
        <f t="shared" si="41"/>
        <v/>
      </c>
    </row>
    <row r="670" spans="2:24" x14ac:dyDescent="0.25">
      <c r="B670" s="11">
        <f>[1]code!B667</f>
        <v>0</v>
      </c>
      <c r="C670" s="2">
        <f>[1]code!C667</f>
        <v>0</v>
      </c>
      <c r="D670" s="2">
        <f>[1]code!D667</f>
        <v>0</v>
      </c>
      <c r="E670" s="1">
        <f>[1]code!E667</f>
        <v>0</v>
      </c>
      <c r="F670" s="2">
        <f>[1]code!F667</f>
        <v>0</v>
      </c>
      <c r="G670" s="12">
        <f>[1]code!G667</f>
        <v>0</v>
      </c>
      <c r="I670" s="10" t="str">
        <f>IFERROR(VLOOKUP($B670,[1]INV!$B$7:$H$2575,7,0),"")</f>
        <v/>
      </c>
      <c r="J670" s="10" t="s">
        <v>7</v>
      </c>
      <c r="K670" s="10" t="s">
        <v>7</v>
      </c>
      <c r="L670" s="10"/>
      <c r="M670" s="10" t="str">
        <f>IFERROR(VLOOKUP($B670,[1]INV!$B$7:$H$2575,7,0),"")</f>
        <v/>
      </c>
      <c r="N670" s="10"/>
      <c r="O670" s="10"/>
      <c r="P670" s="10"/>
      <c r="Q670" s="10"/>
      <c r="R670" s="10"/>
      <c r="S670" s="10"/>
      <c r="T670" s="10"/>
      <c r="V670" s="1" t="str">
        <f t="shared" si="39"/>
        <v/>
      </c>
      <c r="W670" s="1" t="str">
        <f t="shared" si="40"/>
        <v/>
      </c>
      <c r="X670" s="1" t="str">
        <f t="shared" si="41"/>
        <v/>
      </c>
    </row>
    <row r="671" spans="2:24" x14ac:dyDescent="0.25">
      <c r="B671" s="11">
        <f>[1]code!B668</f>
        <v>0</v>
      </c>
      <c r="C671" s="2">
        <f>[1]code!C668</f>
        <v>0</v>
      </c>
      <c r="D671" s="2">
        <f>[1]code!D668</f>
        <v>0</v>
      </c>
      <c r="E671" s="1">
        <f>[1]code!E668</f>
        <v>0</v>
      </c>
      <c r="F671" s="2">
        <f>[1]code!F668</f>
        <v>0</v>
      </c>
      <c r="G671" s="12">
        <f>[1]code!G668</f>
        <v>0</v>
      </c>
      <c r="I671" s="10" t="str">
        <f>IFERROR(VLOOKUP($B671,[1]INV!$B$7:$H$2575,7,0),"")</f>
        <v/>
      </c>
      <c r="J671" s="10" t="s">
        <v>7</v>
      </c>
      <c r="K671" s="10" t="s">
        <v>7</v>
      </c>
      <c r="L671" s="10"/>
      <c r="M671" s="10" t="str">
        <f>IFERROR(VLOOKUP($B671,[1]INV!$B$7:$H$2575,7,0),"")</f>
        <v/>
      </c>
      <c r="N671" s="10"/>
      <c r="O671" s="10"/>
      <c r="P671" s="10"/>
      <c r="Q671" s="10"/>
      <c r="R671" s="10"/>
      <c r="S671" s="10"/>
      <c r="T671" s="10"/>
      <c r="V671" s="1" t="str">
        <f t="shared" si="39"/>
        <v/>
      </c>
      <c r="W671" s="1" t="str">
        <f t="shared" si="40"/>
        <v/>
      </c>
      <c r="X671" s="1" t="str">
        <f t="shared" si="41"/>
        <v/>
      </c>
    </row>
    <row r="672" spans="2:24" x14ac:dyDescent="0.25">
      <c r="B672" s="11">
        <f>[1]code!B669</f>
        <v>0</v>
      </c>
      <c r="C672" s="2">
        <f>[1]code!C669</f>
        <v>0</v>
      </c>
      <c r="D672" s="2">
        <f>[1]code!D669</f>
        <v>0</v>
      </c>
      <c r="E672" s="1">
        <f>[1]code!E669</f>
        <v>0</v>
      </c>
      <c r="F672" s="2">
        <f>[1]code!F669</f>
        <v>0</v>
      </c>
      <c r="G672" s="12">
        <f>[1]code!G669</f>
        <v>0</v>
      </c>
      <c r="I672" s="10" t="str">
        <f>IFERROR(VLOOKUP($B672,[1]INV!$B$7:$H$2575,7,0),"")</f>
        <v/>
      </c>
      <c r="J672" s="10" t="s">
        <v>7</v>
      </c>
      <c r="K672" s="10" t="s">
        <v>7</v>
      </c>
      <c r="L672" s="10"/>
      <c r="M672" s="10" t="str">
        <f>IFERROR(VLOOKUP($B672,[1]INV!$B$7:$H$2575,7,0),"")</f>
        <v/>
      </c>
      <c r="N672" s="10"/>
      <c r="O672" s="10"/>
      <c r="P672" s="10"/>
      <c r="Q672" s="10"/>
      <c r="R672" s="10"/>
      <c r="S672" s="10"/>
      <c r="T672" s="10"/>
      <c r="V672" s="1" t="str">
        <f t="shared" si="39"/>
        <v/>
      </c>
      <c r="W672" s="1" t="str">
        <f t="shared" si="40"/>
        <v/>
      </c>
      <c r="X672" s="1" t="str">
        <f t="shared" si="41"/>
        <v/>
      </c>
    </row>
    <row r="673" spans="2:24" x14ac:dyDescent="0.25">
      <c r="B673" s="11">
        <f>[1]code!B670</f>
        <v>0</v>
      </c>
      <c r="C673" s="2">
        <f>[1]code!C670</f>
        <v>0</v>
      </c>
      <c r="D673" s="2">
        <f>[1]code!D670</f>
        <v>0</v>
      </c>
      <c r="E673" s="1">
        <f>[1]code!E670</f>
        <v>0</v>
      </c>
      <c r="F673" s="2">
        <f>[1]code!F670</f>
        <v>0</v>
      </c>
      <c r="G673" s="12">
        <f>[1]code!G670</f>
        <v>0</v>
      </c>
      <c r="I673" s="10" t="str">
        <f>IFERROR(VLOOKUP($B673,[1]INV!$B$7:$H$2575,7,0),"")</f>
        <v/>
      </c>
      <c r="J673" s="10" t="s">
        <v>7</v>
      </c>
      <c r="K673" s="10" t="s">
        <v>7</v>
      </c>
      <c r="L673" s="10"/>
      <c r="M673" s="10" t="str">
        <f>IFERROR(VLOOKUP($B673,[1]INV!$B$7:$H$2575,7,0),"")</f>
        <v/>
      </c>
      <c r="N673" s="10"/>
      <c r="O673" s="10"/>
      <c r="P673" s="10"/>
      <c r="Q673" s="10"/>
      <c r="R673" s="10"/>
      <c r="S673" s="10"/>
      <c r="T673" s="10"/>
      <c r="V673" s="1" t="str">
        <f t="shared" si="39"/>
        <v/>
      </c>
      <c r="W673" s="1" t="str">
        <f t="shared" si="40"/>
        <v/>
      </c>
      <c r="X673" s="1" t="str">
        <f t="shared" si="41"/>
        <v/>
      </c>
    </row>
    <row r="674" spans="2:24" x14ac:dyDescent="0.25">
      <c r="B674" s="11">
        <f>[1]code!B671</f>
        <v>0</v>
      </c>
      <c r="C674" s="2">
        <f>[1]code!C671</f>
        <v>0</v>
      </c>
      <c r="D674" s="2">
        <f>[1]code!D671</f>
        <v>0</v>
      </c>
      <c r="E674" s="1">
        <f>[1]code!E671</f>
        <v>0</v>
      </c>
      <c r="F674" s="2">
        <f>[1]code!F671</f>
        <v>0</v>
      </c>
      <c r="G674" s="12">
        <f>[1]code!G671</f>
        <v>0</v>
      </c>
      <c r="I674" s="10" t="str">
        <f>IFERROR(VLOOKUP($B674,[1]INV!$B$7:$H$2575,7,0),"")</f>
        <v/>
      </c>
      <c r="J674" s="10" t="s">
        <v>7</v>
      </c>
      <c r="K674" s="10" t="s">
        <v>7</v>
      </c>
      <c r="L674" s="10"/>
      <c r="M674" s="10" t="str">
        <f>IFERROR(VLOOKUP($B674,[1]INV!$B$7:$H$2575,7,0),"")</f>
        <v/>
      </c>
      <c r="N674" s="10"/>
      <c r="O674" s="10"/>
      <c r="P674" s="10"/>
      <c r="Q674" s="10"/>
      <c r="R674" s="10"/>
      <c r="S674" s="10"/>
      <c r="T674" s="10"/>
      <c r="V674" s="1" t="str">
        <f t="shared" si="39"/>
        <v/>
      </c>
      <c r="W674" s="1" t="str">
        <f t="shared" si="40"/>
        <v/>
      </c>
      <c r="X674" s="1" t="str">
        <f t="shared" si="41"/>
        <v/>
      </c>
    </row>
    <row r="675" spans="2:24" x14ac:dyDescent="0.25">
      <c r="B675" s="11">
        <f>[1]code!B672</f>
        <v>0</v>
      </c>
      <c r="C675" s="2">
        <f>[1]code!C672</f>
        <v>0</v>
      </c>
      <c r="D675" s="2">
        <f>[1]code!D672</f>
        <v>0</v>
      </c>
      <c r="E675" s="1">
        <f>[1]code!E672</f>
        <v>0</v>
      </c>
      <c r="F675" s="2">
        <f>[1]code!F672</f>
        <v>0</v>
      </c>
      <c r="G675" s="12">
        <f>[1]code!G672</f>
        <v>0</v>
      </c>
      <c r="I675" s="10" t="str">
        <f>IFERROR(VLOOKUP($B675,[1]INV!$B$7:$H$2575,7,0),"")</f>
        <v/>
      </c>
      <c r="J675" s="10" t="s">
        <v>7</v>
      </c>
      <c r="K675" s="10" t="s">
        <v>7</v>
      </c>
      <c r="L675" s="10"/>
      <c r="M675" s="10" t="str">
        <f>IFERROR(VLOOKUP($B675,[1]INV!$B$7:$H$2575,7,0),"")</f>
        <v/>
      </c>
      <c r="N675" s="10"/>
      <c r="O675" s="10"/>
      <c r="P675" s="10"/>
      <c r="Q675" s="10"/>
      <c r="R675" s="10"/>
      <c r="S675" s="10"/>
      <c r="T675" s="10"/>
      <c r="V675" s="1" t="str">
        <f t="shared" si="39"/>
        <v/>
      </c>
      <c r="W675" s="1" t="str">
        <f t="shared" si="40"/>
        <v/>
      </c>
      <c r="X675" s="1" t="str">
        <f t="shared" si="41"/>
        <v/>
      </c>
    </row>
    <row r="676" spans="2:24" x14ac:dyDescent="0.25">
      <c r="B676" s="11">
        <f>[1]code!B673</f>
        <v>0</v>
      </c>
      <c r="C676" s="2">
        <f>[1]code!C673</f>
        <v>0</v>
      </c>
      <c r="D676" s="2">
        <f>[1]code!D673</f>
        <v>0</v>
      </c>
      <c r="E676" s="1">
        <f>[1]code!E673</f>
        <v>0</v>
      </c>
      <c r="F676" s="2">
        <f>[1]code!F673</f>
        <v>0</v>
      </c>
      <c r="G676" s="12">
        <f>[1]code!G673</f>
        <v>0</v>
      </c>
      <c r="I676" s="10" t="str">
        <f>IFERROR(VLOOKUP($B676,[1]INV!$B$7:$H$2575,7,0),"")</f>
        <v/>
      </c>
      <c r="J676" s="10" t="s">
        <v>7</v>
      </c>
      <c r="K676" s="10" t="s">
        <v>7</v>
      </c>
      <c r="L676" s="10"/>
      <c r="M676" s="10" t="str">
        <f>IFERROR(VLOOKUP($B676,[1]INV!$B$7:$H$2575,7,0),"")</f>
        <v/>
      </c>
      <c r="N676" s="10"/>
      <c r="O676" s="10"/>
      <c r="P676" s="10"/>
      <c r="Q676" s="10"/>
      <c r="R676" s="10"/>
      <c r="S676" s="10"/>
      <c r="T676" s="10"/>
      <c r="V676" s="1" t="str">
        <f t="shared" si="39"/>
        <v/>
      </c>
      <c r="W676" s="1" t="str">
        <f t="shared" si="40"/>
        <v/>
      </c>
      <c r="X676" s="1" t="str">
        <f t="shared" si="41"/>
        <v/>
      </c>
    </row>
    <row r="677" spans="2:24" x14ac:dyDescent="0.25">
      <c r="B677" s="11">
        <f>[1]code!B674</f>
        <v>0</v>
      </c>
      <c r="C677" s="2">
        <f>[1]code!C674</f>
        <v>0</v>
      </c>
      <c r="D677" s="2">
        <f>[1]code!D674</f>
        <v>0</v>
      </c>
      <c r="E677" s="1">
        <f>[1]code!E674</f>
        <v>0</v>
      </c>
      <c r="F677" s="2">
        <f>[1]code!F674</f>
        <v>0</v>
      </c>
      <c r="G677" s="12">
        <f>[1]code!G674</f>
        <v>0</v>
      </c>
      <c r="I677" s="10" t="str">
        <f>IFERROR(VLOOKUP($B677,[1]INV!$B$7:$H$2575,7,0),"")</f>
        <v/>
      </c>
      <c r="J677" s="10" t="s">
        <v>7</v>
      </c>
      <c r="K677" s="10" t="s">
        <v>7</v>
      </c>
      <c r="L677" s="10"/>
      <c r="M677" s="10" t="str">
        <f>IFERROR(VLOOKUP($B677,[1]INV!$B$7:$H$2575,7,0),"")</f>
        <v/>
      </c>
      <c r="N677" s="10"/>
      <c r="O677" s="10"/>
      <c r="P677" s="10"/>
      <c r="Q677" s="10"/>
      <c r="R677" s="10"/>
      <c r="S677" s="10"/>
      <c r="T677" s="10"/>
      <c r="V677" s="1" t="str">
        <f t="shared" si="39"/>
        <v/>
      </c>
      <c r="W677" s="1" t="str">
        <f t="shared" si="40"/>
        <v/>
      </c>
      <c r="X677" s="1" t="str">
        <f t="shared" si="41"/>
        <v/>
      </c>
    </row>
    <row r="678" spans="2:24" x14ac:dyDescent="0.25">
      <c r="B678" s="11">
        <f>[1]code!B675</f>
        <v>0</v>
      </c>
      <c r="C678" s="2">
        <f>[1]code!C675</f>
        <v>0</v>
      </c>
      <c r="D678" s="2">
        <f>[1]code!D675</f>
        <v>0</v>
      </c>
      <c r="E678" s="1">
        <f>[1]code!E675</f>
        <v>0</v>
      </c>
      <c r="F678" s="2">
        <f>[1]code!F675</f>
        <v>0</v>
      </c>
      <c r="G678" s="12">
        <f>[1]code!G675</f>
        <v>0</v>
      </c>
      <c r="I678" s="10" t="str">
        <f>IFERROR(VLOOKUP($B678,[1]INV!$B$7:$H$2575,7,0),"")</f>
        <v/>
      </c>
      <c r="J678" s="10" t="s">
        <v>7</v>
      </c>
      <c r="K678" s="10" t="s">
        <v>7</v>
      </c>
      <c r="L678" s="10"/>
      <c r="M678" s="10" t="str">
        <f>IFERROR(VLOOKUP($B678,[1]INV!$B$7:$H$2575,7,0),"")</f>
        <v/>
      </c>
      <c r="N678" s="10"/>
      <c r="O678" s="10"/>
      <c r="P678" s="10"/>
      <c r="Q678" s="10"/>
      <c r="R678" s="10"/>
      <c r="S678" s="10"/>
      <c r="T678" s="10"/>
      <c r="V678" s="1" t="str">
        <f t="shared" si="39"/>
        <v/>
      </c>
      <c r="W678" s="1" t="str">
        <f t="shared" si="40"/>
        <v/>
      </c>
      <c r="X678" s="1" t="str">
        <f t="shared" si="41"/>
        <v/>
      </c>
    </row>
    <row r="679" spans="2:24" x14ac:dyDescent="0.25">
      <c r="B679" s="11">
        <f>[1]code!B676</f>
        <v>0</v>
      </c>
      <c r="C679" s="2">
        <f>[1]code!C676</f>
        <v>0</v>
      </c>
      <c r="D679" s="2">
        <f>[1]code!D676</f>
        <v>0</v>
      </c>
      <c r="E679" s="1">
        <f>[1]code!E676</f>
        <v>0</v>
      </c>
      <c r="F679" s="2">
        <f>[1]code!F676</f>
        <v>0</v>
      </c>
      <c r="G679" s="12">
        <f>[1]code!G676</f>
        <v>0</v>
      </c>
      <c r="I679" s="10" t="str">
        <f>IFERROR(VLOOKUP($B679,[1]INV!$B$7:$H$2575,7,0),"")</f>
        <v/>
      </c>
      <c r="J679" s="10" t="s">
        <v>7</v>
      </c>
      <c r="K679" s="10" t="s">
        <v>7</v>
      </c>
      <c r="L679" s="10"/>
      <c r="M679" s="10" t="str">
        <f>IFERROR(VLOOKUP($B679,[1]INV!$B$7:$H$2575,7,0),"")</f>
        <v/>
      </c>
      <c r="N679" s="10"/>
      <c r="O679" s="10"/>
      <c r="P679" s="10"/>
      <c r="Q679" s="10"/>
      <c r="R679" s="10"/>
      <c r="S679" s="10"/>
      <c r="T679" s="10"/>
      <c r="V679" s="1" t="str">
        <f t="shared" si="39"/>
        <v/>
      </c>
      <c r="W679" s="1" t="str">
        <f t="shared" si="40"/>
        <v/>
      </c>
      <c r="X679" s="1" t="str">
        <f t="shared" si="41"/>
        <v/>
      </c>
    </row>
    <row r="680" spans="2:24" x14ac:dyDescent="0.25">
      <c r="B680" s="11">
        <f>[1]code!B677</f>
        <v>0</v>
      </c>
      <c r="C680" s="2">
        <f>[1]code!C677</f>
        <v>0</v>
      </c>
      <c r="D680" s="2">
        <f>[1]code!D677</f>
        <v>0</v>
      </c>
      <c r="E680" s="1">
        <f>[1]code!E677</f>
        <v>0</v>
      </c>
      <c r="F680" s="2">
        <f>[1]code!F677</f>
        <v>0</v>
      </c>
      <c r="G680" s="12">
        <f>[1]code!G677</f>
        <v>0</v>
      </c>
      <c r="I680" s="10" t="str">
        <f>IFERROR(VLOOKUP($B680,[1]INV!$B$7:$H$2575,7,0),"")</f>
        <v/>
      </c>
      <c r="J680" s="10" t="s">
        <v>7</v>
      </c>
      <c r="K680" s="10" t="s">
        <v>7</v>
      </c>
      <c r="L680" s="10"/>
      <c r="M680" s="10" t="str">
        <f>IFERROR(VLOOKUP($B680,[1]INV!$B$7:$H$2575,7,0),"")</f>
        <v/>
      </c>
      <c r="N680" s="10"/>
      <c r="O680" s="10"/>
      <c r="P680" s="10"/>
      <c r="Q680" s="10"/>
      <c r="R680" s="10"/>
      <c r="S680" s="10"/>
      <c r="T680" s="10"/>
      <c r="V680" s="1" t="str">
        <f t="shared" si="39"/>
        <v/>
      </c>
      <c r="W680" s="1" t="str">
        <f t="shared" si="40"/>
        <v/>
      </c>
      <c r="X680" s="1" t="str">
        <f t="shared" si="41"/>
        <v/>
      </c>
    </row>
    <row r="681" spans="2:24" x14ac:dyDescent="0.25">
      <c r="B681" s="11">
        <f>[1]code!B678</f>
        <v>0</v>
      </c>
      <c r="C681" s="2">
        <f>[1]code!C678</f>
        <v>0</v>
      </c>
      <c r="D681" s="2">
        <f>[1]code!D678</f>
        <v>0</v>
      </c>
      <c r="E681" s="1">
        <f>[1]code!E678</f>
        <v>0</v>
      </c>
      <c r="F681" s="2">
        <f>[1]code!F678</f>
        <v>0</v>
      </c>
      <c r="G681" s="12">
        <f>[1]code!G678</f>
        <v>0</v>
      </c>
      <c r="I681" s="10" t="str">
        <f>IFERROR(VLOOKUP($B681,[1]INV!$B$7:$H$2575,7,0),"")</f>
        <v/>
      </c>
      <c r="J681" s="10" t="s">
        <v>7</v>
      </c>
      <c r="K681" s="10" t="s">
        <v>7</v>
      </c>
      <c r="L681" s="10"/>
      <c r="M681" s="10" t="str">
        <f>IFERROR(VLOOKUP($B681,[1]INV!$B$7:$H$2575,7,0),"")</f>
        <v/>
      </c>
      <c r="N681" s="10"/>
      <c r="O681" s="10"/>
      <c r="P681" s="10"/>
      <c r="Q681" s="10"/>
      <c r="R681" s="10"/>
      <c r="S681" s="10"/>
      <c r="T681" s="10"/>
      <c r="V681" s="1" t="str">
        <f t="shared" si="39"/>
        <v/>
      </c>
      <c r="W681" s="1" t="str">
        <f t="shared" si="40"/>
        <v/>
      </c>
      <c r="X681" s="1" t="str">
        <f t="shared" si="41"/>
        <v/>
      </c>
    </row>
    <row r="682" spans="2:24" x14ac:dyDescent="0.25">
      <c r="B682" s="11">
        <f>[1]code!B679</f>
        <v>0</v>
      </c>
      <c r="C682" s="2">
        <f>[1]code!C679</f>
        <v>0</v>
      </c>
      <c r="D682" s="2">
        <f>[1]code!D679</f>
        <v>0</v>
      </c>
      <c r="E682" s="1">
        <f>[1]code!E679</f>
        <v>0</v>
      </c>
      <c r="F682" s="2">
        <f>[1]code!F679</f>
        <v>0</v>
      </c>
      <c r="G682" s="12">
        <f>[1]code!G679</f>
        <v>0</v>
      </c>
      <c r="I682" s="10" t="str">
        <f>IFERROR(VLOOKUP($B682,[1]INV!$B$7:$H$2575,7,0),"")</f>
        <v/>
      </c>
      <c r="J682" s="10" t="s">
        <v>7</v>
      </c>
      <c r="K682" s="10" t="s">
        <v>7</v>
      </c>
      <c r="L682" s="10"/>
      <c r="M682" s="10" t="str">
        <f>IFERROR(VLOOKUP($B682,[1]INV!$B$7:$H$2575,7,0),"")</f>
        <v/>
      </c>
      <c r="N682" s="10"/>
      <c r="O682" s="10"/>
      <c r="P682" s="10"/>
      <c r="Q682" s="10"/>
      <c r="R682" s="10"/>
      <c r="S682" s="10"/>
      <c r="T682" s="10"/>
      <c r="V682" s="1" t="str">
        <f t="shared" si="39"/>
        <v/>
      </c>
      <c r="W682" s="1" t="str">
        <f t="shared" si="40"/>
        <v/>
      </c>
      <c r="X682" s="1" t="str">
        <f t="shared" si="41"/>
        <v/>
      </c>
    </row>
    <row r="683" spans="2:24" x14ac:dyDescent="0.25">
      <c r="B683" s="11">
        <f>[1]code!B680</f>
        <v>0</v>
      </c>
      <c r="C683" s="2">
        <f>[1]code!C680</f>
        <v>0</v>
      </c>
      <c r="D683" s="2">
        <f>[1]code!D680</f>
        <v>0</v>
      </c>
      <c r="E683" s="1">
        <f>[1]code!E680</f>
        <v>0</v>
      </c>
      <c r="F683" s="2">
        <f>[1]code!F680</f>
        <v>0</v>
      </c>
      <c r="G683" s="12">
        <f>[1]code!G680</f>
        <v>0</v>
      </c>
      <c r="I683" s="10" t="str">
        <f>IFERROR(VLOOKUP($B683,[1]INV!$B$7:$H$2575,7,0),"")</f>
        <v/>
      </c>
      <c r="J683" s="10" t="s">
        <v>7</v>
      </c>
      <c r="K683" s="10" t="s">
        <v>7</v>
      </c>
      <c r="L683" s="10"/>
      <c r="M683" s="10" t="str">
        <f>IFERROR(VLOOKUP($B683,[1]INV!$B$7:$H$2575,7,0),"")</f>
        <v/>
      </c>
      <c r="N683" s="10"/>
      <c r="O683" s="10"/>
      <c r="P683" s="10"/>
      <c r="Q683" s="10"/>
      <c r="R683" s="10"/>
      <c r="S683" s="10"/>
      <c r="T683" s="10"/>
      <c r="V683" s="1" t="str">
        <f t="shared" si="39"/>
        <v/>
      </c>
      <c r="W683" s="1" t="str">
        <f t="shared" si="40"/>
        <v/>
      </c>
      <c r="X683" s="1" t="str">
        <f t="shared" si="41"/>
        <v/>
      </c>
    </row>
    <row r="684" spans="2:24" x14ac:dyDescent="0.25">
      <c r="B684" s="11">
        <f>[1]code!B681</f>
        <v>0</v>
      </c>
      <c r="C684" s="2">
        <f>[1]code!C681</f>
        <v>0</v>
      </c>
      <c r="D684" s="2">
        <f>[1]code!D681</f>
        <v>0</v>
      </c>
      <c r="E684" s="1">
        <f>[1]code!E681</f>
        <v>0</v>
      </c>
      <c r="F684" s="2">
        <f>[1]code!F681</f>
        <v>0</v>
      </c>
      <c r="G684" s="12">
        <f>[1]code!G681</f>
        <v>0</v>
      </c>
      <c r="I684" s="10" t="str">
        <f>IFERROR(VLOOKUP($B684,[1]INV!$B$7:$H$2575,7,0),"")</f>
        <v/>
      </c>
      <c r="J684" s="10" t="s">
        <v>7</v>
      </c>
      <c r="K684" s="10" t="s">
        <v>7</v>
      </c>
      <c r="L684" s="10"/>
      <c r="M684" s="10" t="str">
        <f>IFERROR(VLOOKUP($B684,[1]INV!$B$7:$H$2575,7,0),"")</f>
        <v/>
      </c>
      <c r="N684" s="10"/>
      <c r="O684" s="10"/>
      <c r="P684" s="10"/>
      <c r="Q684" s="10"/>
      <c r="R684" s="10"/>
      <c r="S684" s="10"/>
      <c r="T684" s="10"/>
      <c r="V684" s="1" t="str">
        <f t="shared" si="39"/>
        <v/>
      </c>
      <c r="W684" s="1" t="str">
        <f t="shared" si="40"/>
        <v/>
      </c>
      <c r="X684" s="1" t="str">
        <f t="shared" si="41"/>
        <v/>
      </c>
    </row>
    <row r="685" spans="2:24" x14ac:dyDescent="0.25">
      <c r="B685" s="11">
        <f>[1]code!B682</f>
        <v>0</v>
      </c>
      <c r="C685" s="2">
        <f>[1]code!C682</f>
        <v>0</v>
      </c>
      <c r="D685" s="2">
        <f>[1]code!D682</f>
        <v>0</v>
      </c>
      <c r="E685" s="1">
        <f>[1]code!E682</f>
        <v>0</v>
      </c>
      <c r="F685" s="2">
        <f>[1]code!F682</f>
        <v>0</v>
      </c>
      <c r="G685" s="12">
        <f>[1]code!G682</f>
        <v>0</v>
      </c>
      <c r="I685" s="10" t="str">
        <f>IFERROR(VLOOKUP($B685,[1]INV!$B$7:$H$2575,7,0),"")</f>
        <v/>
      </c>
      <c r="J685" s="10" t="s">
        <v>7</v>
      </c>
      <c r="K685" s="10" t="s">
        <v>7</v>
      </c>
      <c r="L685" s="10"/>
      <c r="M685" s="10" t="str">
        <f>IFERROR(VLOOKUP($B685,[1]INV!$B$7:$H$2575,7,0),"")</f>
        <v/>
      </c>
      <c r="N685" s="10"/>
      <c r="O685" s="10"/>
      <c r="P685" s="10"/>
      <c r="Q685" s="10"/>
      <c r="R685" s="10"/>
      <c r="S685" s="10"/>
      <c r="T685" s="10"/>
      <c r="V685" s="1" t="str">
        <f t="shared" si="39"/>
        <v/>
      </c>
      <c r="W685" s="1" t="str">
        <f t="shared" si="40"/>
        <v/>
      </c>
      <c r="X685" s="1" t="str">
        <f t="shared" si="41"/>
        <v/>
      </c>
    </row>
    <row r="686" spans="2:24" x14ac:dyDescent="0.25">
      <c r="B686" s="11">
        <f>[1]code!B683</f>
        <v>0</v>
      </c>
      <c r="C686" s="2">
        <f>[1]code!C683</f>
        <v>0</v>
      </c>
      <c r="D686" s="2">
        <f>[1]code!D683</f>
        <v>0</v>
      </c>
      <c r="E686" s="1">
        <f>[1]code!E683</f>
        <v>0</v>
      </c>
      <c r="F686" s="2">
        <f>[1]code!F683</f>
        <v>0</v>
      </c>
      <c r="G686" s="12">
        <f>[1]code!G683</f>
        <v>0</v>
      </c>
      <c r="I686" s="10" t="str">
        <f>IFERROR(VLOOKUP($B686,[1]INV!$B$7:$H$2575,7,0),"")</f>
        <v/>
      </c>
      <c r="J686" s="10" t="s">
        <v>7</v>
      </c>
      <c r="K686" s="10" t="s">
        <v>7</v>
      </c>
      <c r="L686" s="10"/>
      <c r="M686" s="10" t="str">
        <f>IFERROR(VLOOKUP($B686,[1]INV!$B$7:$H$2575,7,0),"")</f>
        <v/>
      </c>
      <c r="N686" s="10"/>
      <c r="O686" s="10"/>
      <c r="P686" s="10"/>
      <c r="Q686" s="10"/>
      <c r="R686" s="10"/>
      <c r="S686" s="10"/>
      <c r="T686" s="10"/>
      <c r="V686" s="1" t="str">
        <f t="shared" si="39"/>
        <v/>
      </c>
      <c r="W686" s="1" t="str">
        <f t="shared" si="40"/>
        <v/>
      </c>
      <c r="X686" s="1" t="str">
        <f t="shared" si="41"/>
        <v/>
      </c>
    </row>
    <row r="687" spans="2:24" x14ac:dyDescent="0.25">
      <c r="B687" s="11">
        <f>[1]code!B684</f>
        <v>0</v>
      </c>
      <c r="C687" s="2">
        <f>[1]code!C684</f>
        <v>0</v>
      </c>
      <c r="D687" s="2">
        <f>[1]code!D684</f>
        <v>0</v>
      </c>
      <c r="E687" s="1">
        <f>[1]code!E684</f>
        <v>0</v>
      </c>
      <c r="F687" s="2">
        <f>[1]code!F684</f>
        <v>0</v>
      </c>
      <c r="G687" s="12">
        <f>[1]code!G684</f>
        <v>0</v>
      </c>
      <c r="I687" s="10" t="str">
        <f>IFERROR(VLOOKUP($B687,[1]INV!$B$7:$H$2575,7,0),"")</f>
        <v/>
      </c>
      <c r="J687" s="10" t="s">
        <v>7</v>
      </c>
      <c r="K687" s="10" t="s">
        <v>7</v>
      </c>
      <c r="L687" s="10"/>
      <c r="M687" s="10" t="str">
        <f>IFERROR(VLOOKUP($B687,[1]INV!$B$7:$H$2575,7,0),"")</f>
        <v/>
      </c>
      <c r="N687" s="10"/>
      <c r="O687" s="10"/>
      <c r="P687" s="10"/>
      <c r="Q687" s="10"/>
      <c r="R687" s="10"/>
      <c r="S687" s="10"/>
      <c r="T687" s="10"/>
      <c r="V687" s="1" t="str">
        <f t="shared" si="39"/>
        <v/>
      </c>
      <c r="W687" s="1" t="str">
        <f t="shared" si="40"/>
        <v/>
      </c>
      <c r="X687" s="1" t="str">
        <f t="shared" si="41"/>
        <v/>
      </c>
    </row>
    <row r="688" spans="2:24" x14ac:dyDescent="0.25">
      <c r="B688" s="11">
        <f>[1]code!B685</f>
        <v>0</v>
      </c>
      <c r="C688" s="2">
        <f>[1]code!C685</f>
        <v>0</v>
      </c>
      <c r="D688" s="2">
        <f>[1]code!D685</f>
        <v>0</v>
      </c>
      <c r="E688" s="1">
        <f>[1]code!E685</f>
        <v>0</v>
      </c>
      <c r="F688" s="2">
        <f>[1]code!F685</f>
        <v>0</v>
      </c>
      <c r="G688" s="12">
        <f>[1]code!G685</f>
        <v>0</v>
      </c>
      <c r="I688" s="10" t="str">
        <f>IFERROR(VLOOKUP($B688,[1]INV!$B$7:$H$2575,7,0),"")</f>
        <v/>
      </c>
      <c r="J688" s="10" t="s">
        <v>7</v>
      </c>
      <c r="K688" s="10" t="s">
        <v>7</v>
      </c>
      <c r="L688" s="10"/>
      <c r="M688" s="10" t="str">
        <f>IFERROR(VLOOKUP($B688,[1]INV!$B$7:$H$2575,7,0),"")</f>
        <v/>
      </c>
      <c r="N688" s="10"/>
      <c r="O688" s="10"/>
      <c r="P688" s="10"/>
      <c r="Q688" s="10"/>
      <c r="R688" s="10"/>
      <c r="S688" s="10"/>
      <c r="T688" s="10"/>
      <c r="V688" s="1" t="str">
        <f t="shared" si="39"/>
        <v/>
      </c>
      <c r="W688" s="1" t="str">
        <f t="shared" si="40"/>
        <v/>
      </c>
      <c r="X688" s="1" t="str">
        <f t="shared" si="41"/>
        <v/>
      </c>
    </row>
    <row r="689" spans="2:24" x14ac:dyDescent="0.25">
      <c r="B689" s="11">
        <f>[1]code!B686</f>
        <v>0</v>
      </c>
      <c r="C689" s="2">
        <f>[1]code!C686</f>
        <v>0</v>
      </c>
      <c r="D689" s="2">
        <f>[1]code!D686</f>
        <v>0</v>
      </c>
      <c r="E689" s="1">
        <f>[1]code!E686</f>
        <v>0</v>
      </c>
      <c r="F689" s="2">
        <f>[1]code!F686</f>
        <v>0</v>
      </c>
      <c r="G689" s="12">
        <f>[1]code!G686</f>
        <v>0</v>
      </c>
      <c r="I689" s="10" t="str">
        <f>IFERROR(VLOOKUP($B689,[1]INV!$B$7:$H$2575,7,0),"")</f>
        <v/>
      </c>
      <c r="J689" s="10" t="s">
        <v>7</v>
      </c>
      <c r="K689" s="10" t="s">
        <v>7</v>
      </c>
      <c r="L689" s="10"/>
      <c r="M689" s="10" t="str">
        <f>IFERROR(VLOOKUP($B689,[1]INV!$B$7:$H$2575,7,0),"")</f>
        <v/>
      </c>
      <c r="N689" s="10"/>
      <c r="O689" s="10"/>
      <c r="P689" s="10"/>
      <c r="Q689" s="10"/>
      <c r="R689" s="10"/>
      <c r="S689" s="10"/>
      <c r="T689" s="10"/>
      <c r="V689" s="1" t="str">
        <f t="shared" si="39"/>
        <v/>
      </c>
      <c r="W689" s="1" t="str">
        <f t="shared" si="40"/>
        <v/>
      </c>
      <c r="X689" s="1" t="str">
        <f t="shared" si="41"/>
        <v/>
      </c>
    </row>
    <row r="690" spans="2:24" x14ac:dyDescent="0.25">
      <c r="B690" s="11">
        <f>[1]code!B687</f>
        <v>0</v>
      </c>
      <c r="C690" s="2">
        <f>[1]code!C687</f>
        <v>0</v>
      </c>
      <c r="D690" s="2">
        <f>[1]code!D687</f>
        <v>0</v>
      </c>
      <c r="E690" s="1">
        <f>[1]code!E687</f>
        <v>0</v>
      </c>
      <c r="F690" s="2">
        <f>[1]code!F687</f>
        <v>0</v>
      </c>
      <c r="G690" s="12">
        <f>[1]code!G687</f>
        <v>0</v>
      </c>
      <c r="I690" s="10" t="str">
        <f>IFERROR(VLOOKUP($B690,[1]INV!$B$7:$H$2575,7,0),"")</f>
        <v/>
      </c>
      <c r="J690" s="10" t="s">
        <v>7</v>
      </c>
      <c r="K690" s="10" t="s">
        <v>7</v>
      </c>
      <c r="L690" s="10"/>
      <c r="M690" s="10" t="str">
        <f>IFERROR(VLOOKUP($B690,[1]INV!$B$7:$H$2575,7,0),"")</f>
        <v/>
      </c>
      <c r="N690" s="10"/>
      <c r="O690" s="10"/>
      <c r="P690" s="10"/>
      <c r="Q690" s="10"/>
      <c r="R690" s="10"/>
      <c r="S690" s="10"/>
      <c r="T690" s="10"/>
      <c r="V690" s="1" t="str">
        <f t="shared" si="39"/>
        <v/>
      </c>
      <c r="W690" s="1" t="str">
        <f t="shared" si="40"/>
        <v/>
      </c>
      <c r="X690" s="1" t="str">
        <f t="shared" si="41"/>
        <v/>
      </c>
    </row>
    <row r="691" spans="2:24" x14ac:dyDescent="0.25">
      <c r="B691" s="11">
        <f>[1]code!B688</f>
        <v>0</v>
      </c>
      <c r="C691" s="2">
        <f>[1]code!C688</f>
        <v>0</v>
      </c>
      <c r="D691" s="2">
        <f>[1]code!D688</f>
        <v>0</v>
      </c>
      <c r="E691" s="1">
        <f>[1]code!E688</f>
        <v>0</v>
      </c>
      <c r="F691" s="2">
        <f>[1]code!F688</f>
        <v>0</v>
      </c>
      <c r="G691" s="12">
        <f>[1]code!G688</f>
        <v>0</v>
      </c>
      <c r="I691" s="10" t="str">
        <f>IFERROR(VLOOKUP($B691,[1]INV!$B$7:$H$2575,7,0),"")</f>
        <v/>
      </c>
      <c r="J691" s="10" t="s">
        <v>7</v>
      </c>
      <c r="K691" s="10" t="s">
        <v>7</v>
      </c>
      <c r="L691" s="10"/>
      <c r="M691" s="10" t="str">
        <f>IFERROR(VLOOKUP($B691,[1]INV!$B$7:$H$2575,7,0),"")</f>
        <v/>
      </c>
      <c r="N691" s="10"/>
      <c r="O691" s="10"/>
      <c r="P691" s="10"/>
      <c r="Q691" s="10"/>
      <c r="R691" s="10"/>
      <c r="S691" s="10"/>
      <c r="T691" s="10"/>
      <c r="V691" s="1" t="str">
        <f t="shared" si="39"/>
        <v/>
      </c>
      <c r="W691" s="1" t="str">
        <f t="shared" si="40"/>
        <v/>
      </c>
      <c r="X691" s="1" t="str">
        <f t="shared" si="41"/>
        <v/>
      </c>
    </row>
    <row r="692" spans="2:24" x14ac:dyDescent="0.25">
      <c r="B692" s="11">
        <f>[1]code!B689</f>
        <v>0</v>
      </c>
      <c r="C692" s="2">
        <f>[1]code!C689</f>
        <v>0</v>
      </c>
      <c r="D692" s="2">
        <f>[1]code!D689</f>
        <v>0</v>
      </c>
      <c r="E692" s="1">
        <f>[1]code!E689</f>
        <v>0</v>
      </c>
      <c r="F692" s="2">
        <f>[1]code!F689</f>
        <v>0</v>
      </c>
      <c r="G692" s="12">
        <f>[1]code!G689</f>
        <v>0</v>
      </c>
      <c r="I692" s="10" t="str">
        <f>IFERROR(VLOOKUP($B692,[1]INV!$B$7:$H$2575,7,0),"")</f>
        <v/>
      </c>
      <c r="J692" s="10" t="s">
        <v>7</v>
      </c>
      <c r="K692" s="10" t="s">
        <v>7</v>
      </c>
      <c r="L692" s="10"/>
      <c r="M692" s="10" t="str">
        <f>IFERROR(VLOOKUP($B692,[1]INV!$B$7:$H$2575,7,0),"")</f>
        <v/>
      </c>
      <c r="N692" s="10"/>
      <c r="O692" s="10"/>
      <c r="P692" s="10"/>
      <c r="Q692" s="10"/>
      <c r="R692" s="10"/>
      <c r="S692" s="10"/>
      <c r="T692" s="10"/>
      <c r="V692" s="1" t="str">
        <f t="shared" si="39"/>
        <v/>
      </c>
      <c r="W692" s="1" t="str">
        <f t="shared" si="40"/>
        <v/>
      </c>
      <c r="X692" s="1" t="str">
        <f t="shared" si="41"/>
        <v/>
      </c>
    </row>
    <row r="693" spans="2:24" x14ac:dyDescent="0.25">
      <c r="B693" s="11">
        <f>[1]code!B690</f>
        <v>0</v>
      </c>
      <c r="C693" s="2">
        <f>[1]code!C690</f>
        <v>0</v>
      </c>
      <c r="D693" s="2">
        <f>[1]code!D690</f>
        <v>0</v>
      </c>
      <c r="E693" s="1">
        <f>[1]code!E690</f>
        <v>0</v>
      </c>
      <c r="F693" s="2">
        <f>[1]code!F690</f>
        <v>0</v>
      </c>
      <c r="G693" s="12">
        <f>[1]code!G690</f>
        <v>0</v>
      </c>
      <c r="I693" s="10" t="str">
        <f>IFERROR(VLOOKUP($B693,[1]INV!$B$7:$H$2575,7,0),"")</f>
        <v/>
      </c>
      <c r="J693" s="10" t="s">
        <v>7</v>
      </c>
      <c r="K693" s="10" t="s">
        <v>7</v>
      </c>
      <c r="L693" s="10"/>
      <c r="M693" s="10" t="str">
        <f>IFERROR(VLOOKUP($B693,[1]INV!$B$7:$H$2575,7,0),"")</f>
        <v/>
      </c>
      <c r="N693" s="10"/>
      <c r="O693" s="10"/>
      <c r="P693" s="10"/>
      <c r="Q693" s="10"/>
      <c r="R693" s="10"/>
      <c r="S693" s="10"/>
      <c r="T693" s="10"/>
      <c r="V693" s="1" t="str">
        <f t="shared" si="39"/>
        <v/>
      </c>
      <c r="W693" s="1" t="str">
        <f t="shared" si="40"/>
        <v/>
      </c>
      <c r="X693" s="1" t="str">
        <f t="shared" si="41"/>
        <v/>
      </c>
    </row>
    <row r="694" spans="2:24" x14ac:dyDescent="0.25">
      <c r="B694" s="11">
        <f>[1]code!B691</f>
        <v>0</v>
      </c>
      <c r="C694" s="2">
        <f>[1]code!C691</f>
        <v>0</v>
      </c>
      <c r="D694" s="2">
        <f>[1]code!D691</f>
        <v>0</v>
      </c>
      <c r="E694" s="1">
        <f>[1]code!E691</f>
        <v>0</v>
      </c>
      <c r="F694" s="2">
        <f>[1]code!F691</f>
        <v>0</v>
      </c>
      <c r="G694" s="12">
        <f>[1]code!G691</f>
        <v>0</v>
      </c>
      <c r="I694" s="10" t="str">
        <f>IFERROR(VLOOKUP($B694,[1]INV!$B$7:$H$2575,7,0),"")</f>
        <v/>
      </c>
      <c r="J694" s="10" t="s">
        <v>7</v>
      </c>
      <c r="K694" s="10" t="s">
        <v>7</v>
      </c>
      <c r="L694" s="10"/>
      <c r="M694" s="10" t="str">
        <f>IFERROR(VLOOKUP($B694,[1]INV!$B$7:$H$2575,7,0),"")</f>
        <v/>
      </c>
      <c r="N694" s="10"/>
      <c r="O694" s="10"/>
      <c r="P694" s="10"/>
      <c r="Q694" s="10"/>
      <c r="R694" s="10"/>
      <c r="S694" s="10"/>
      <c r="T694" s="10"/>
      <c r="V694" s="1" t="str">
        <f t="shared" si="39"/>
        <v/>
      </c>
      <c r="W694" s="1" t="str">
        <f t="shared" si="40"/>
        <v/>
      </c>
      <c r="X694" s="1" t="str">
        <f t="shared" si="41"/>
        <v/>
      </c>
    </row>
    <row r="695" spans="2:24" x14ac:dyDescent="0.25">
      <c r="B695" s="11">
        <f>[1]code!B692</f>
        <v>0</v>
      </c>
      <c r="C695" s="2">
        <f>[1]code!C692</f>
        <v>0</v>
      </c>
      <c r="D695" s="2">
        <f>[1]code!D692</f>
        <v>0</v>
      </c>
      <c r="E695" s="1">
        <f>[1]code!E692</f>
        <v>0</v>
      </c>
      <c r="F695" s="2">
        <f>[1]code!F692</f>
        <v>0</v>
      </c>
      <c r="G695" s="12">
        <f>[1]code!G692</f>
        <v>0</v>
      </c>
      <c r="I695" s="10" t="str">
        <f>IFERROR(VLOOKUP($B695,[1]INV!$B$7:$H$2575,7,0),"")</f>
        <v/>
      </c>
      <c r="J695" s="10" t="s">
        <v>7</v>
      </c>
      <c r="K695" s="10" t="s">
        <v>7</v>
      </c>
      <c r="L695" s="10"/>
      <c r="M695" s="10" t="str">
        <f>IFERROR(VLOOKUP($B695,[1]INV!$B$7:$H$2575,7,0),"")</f>
        <v/>
      </c>
      <c r="N695" s="10"/>
      <c r="O695" s="10"/>
      <c r="P695" s="10"/>
      <c r="Q695" s="10"/>
      <c r="R695" s="10"/>
      <c r="S695" s="10"/>
      <c r="T695" s="10"/>
      <c r="V695" s="1" t="str">
        <f t="shared" si="39"/>
        <v/>
      </c>
      <c r="W695" s="1" t="str">
        <f t="shared" si="40"/>
        <v/>
      </c>
      <c r="X695" s="1" t="str">
        <f t="shared" si="41"/>
        <v/>
      </c>
    </row>
    <row r="696" spans="2:24" x14ac:dyDescent="0.25">
      <c r="B696" s="11">
        <f>[1]code!B693</f>
        <v>0</v>
      </c>
      <c r="C696" s="2">
        <f>[1]code!C693</f>
        <v>0</v>
      </c>
      <c r="D696" s="2">
        <f>[1]code!D693</f>
        <v>0</v>
      </c>
      <c r="E696" s="1">
        <f>[1]code!E693</f>
        <v>0</v>
      </c>
      <c r="F696" s="2">
        <f>[1]code!F693</f>
        <v>0</v>
      </c>
      <c r="G696" s="12">
        <f>[1]code!G693</f>
        <v>0</v>
      </c>
      <c r="I696" s="10" t="str">
        <f>IFERROR(VLOOKUP($B696,[1]INV!$B$7:$H$2575,7,0),"")</f>
        <v/>
      </c>
      <c r="J696" s="10" t="s">
        <v>7</v>
      </c>
      <c r="K696" s="10" t="s">
        <v>7</v>
      </c>
      <c r="L696" s="10"/>
      <c r="M696" s="10" t="str">
        <f>IFERROR(VLOOKUP($B696,[1]INV!$B$7:$H$2575,7,0),"")</f>
        <v/>
      </c>
      <c r="N696" s="10"/>
      <c r="O696" s="10"/>
      <c r="P696" s="10"/>
      <c r="Q696" s="10"/>
      <c r="R696" s="10"/>
      <c r="S696" s="10"/>
      <c r="T696" s="10"/>
      <c r="V696" s="1" t="str">
        <f t="shared" si="39"/>
        <v/>
      </c>
      <c r="W696" s="1" t="str">
        <f t="shared" si="40"/>
        <v/>
      </c>
      <c r="X696" s="1" t="str">
        <f t="shared" si="41"/>
        <v/>
      </c>
    </row>
    <row r="697" spans="2:24" x14ac:dyDescent="0.25">
      <c r="B697" s="11">
        <f>[1]code!B694</f>
        <v>0</v>
      </c>
      <c r="C697" s="2">
        <f>[1]code!C694</f>
        <v>0</v>
      </c>
      <c r="D697" s="2">
        <f>[1]code!D694</f>
        <v>0</v>
      </c>
      <c r="E697" s="1">
        <f>[1]code!E694</f>
        <v>0</v>
      </c>
      <c r="F697" s="2">
        <f>[1]code!F694</f>
        <v>0</v>
      </c>
      <c r="G697" s="12">
        <f>[1]code!G694</f>
        <v>0</v>
      </c>
      <c r="I697" s="10" t="str">
        <f>IFERROR(VLOOKUP($B697,[1]INV!$B$7:$H$2575,7,0),"")</f>
        <v/>
      </c>
      <c r="J697" s="10" t="s">
        <v>7</v>
      </c>
      <c r="K697" s="10" t="s">
        <v>7</v>
      </c>
      <c r="L697" s="10"/>
      <c r="M697" s="10" t="str">
        <f>IFERROR(VLOOKUP($B697,[1]INV!$B$7:$H$2575,7,0),"")</f>
        <v/>
      </c>
      <c r="N697" s="10"/>
      <c r="O697" s="10"/>
      <c r="P697" s="10"/>
      <c r="Q697" s="10"/>
      <c r="R697" s="10"/>
      <c r="S697" s="10"/>
      <c r="T697" s="10"/>
      <c r="V697" s="1" t="str">
        <f t="shared" si="39"/>
        <v/>
      </c>
      <c r="W697" s="1" t="str">
        <f t="shared" si="40"/>
        <v/>
      </c>
      <c r="X697" s="1" t="str">
        <f t="shared" si="41"/>
        <v/>
      </c>
    </row>
    <row r="698" spans="2:24" x14ac:dyDescent="0.25">
      <c r="B698" s="11">
        <f>[1]code!B695</f>
        <v>0</v>
      </c>
      <c r="C698" s="2">
        <f>[1]code!C695</f>
        <v>0</v>
      </c>
      <c r="D698" s="2">
        <f>[1]code!D695</f>
        <v>0</v>
      </c>
      <c r="E698" s="1">
        <f>[1]code!E695</f>
        <v>0</v>
      </c>
      <c r="F698" s="2">
        <f>[1]code!F695</f>
        <v>0</v>
      </c>
      <c r="G698" s="12">
        <f>[1]code!G695</f>
        <v>0</v>
      </c>
      <c r="I698" s="10" t="str">
        <f>IFERROR(VLOOKUP($B698,[1]INV!$B$7:$H$2575,7,0),"")</f>
        <v/>
      </c>
      <c r="J698" s="10" t="s">
        <v>7</v>
      </c>
      <c r="K698" s="10" t="s">
        <v>7</v>
      </c>
      <c r="L698" s="10"/>
      <c r="M698" s="10" t="str">
        <f>IFERROR(VLOOKUP($B698,[1]INV!$B$7:$H$2575,7,0),"")</f>
        <v/>
      </c>
      <c r="N698" s="10"/>
      <c r="O698" s="10"/>
      <c r="P698" s="10"/>
      <c r="Q698" s="10"/>
      <c r="R698" s="10"/>
      <c r="S698" s="10"/>
      <c r="T698" s="10"/>
      <c r="V698" s="1" t="str">
        <f t="shared" si="39"/>
        <v/>
      </c>
      <c r="W698" s="1" t="str">
        <f t="shared" si="40"/>
        <v/>
      </c>
      <c r="X698" s="1" t="str">
        <f t="shared" si="41"/>
        <v/>
      </c>
    </row>
    <row r="699" spans="2:24" x14ac:dyDescent="0.25">
      <c r="B699" s="11">
        <f>[1]code!B696</f>
        <v>0</v>
      </c>
      <c r="C699" s="2">
        <f>[1]code!C696</f>
        <v>0</v>
      </c>
      <c r="D699" s="2">
        <f>[1]code!D696</f>
        <v>0</v>
      </c>
      <c r="E699" s="1">
        <f>[1]code!E696</f>
        <v>0</v>
      </c>
      <c r="F699" s="2">
        <f>[1]code!F696</f>
        <v>0</v>
      </c>
      <c r="G699" s="12">
        <f>[1]code!G696</f>
        <v>0</v>
      </c>
      <c r="I699" s="10" t="str">
        <f>IFERROR(VLOOKUP($B699,[1]INV!$B$7:$H$2575,7,0),"")</f>
        <v/>
      </c>
      <c r="J699" s="10" t="s">
        <v>7</v>
      </c>
      <c r="K699" s="10" t="s">
        <v>7</v>
      </c>
      <c r="L699" s="10"/>
      <c r="M699" s="10" t="str">
        <f>IFERROR(VLOOKUP($B699,[1]INV!$B$7:$H$2575,7,0),"")</f>
        <v/>
      </c>
      <c r="N699" s="10"/>
      <c r="O699" s="10"/>
      <c r="P699" s="10"/>
      <c r="Q699" s="10"/>
      <c r="R699" s="10"/>
      <c r="S699" s="10"/>
      <c r="T699" s="10"/>
      <c r="V699" s="1" t="str">
        <f t="shared" si="39"/>
        <v/>
      </c>
      <c r="W699" s="1" t="str">
        <f t="shared" si="40"/>
        <v/>
      </c>
      <c r="X699" s="1" t="str">
        <f t="shared" si="41"/>
        <v/>
      </c>
    </row>
    <row r="700" spans="2:24" x14ac:dyDescent="0.25">
      <c r="B700" s="11">
        <f>[1]code!B697</f>
        <v>0</v>
      </c>
      <c r="C700" s="2">
        <f>[1]code!C697</f>
        <v>0</v>
      </c>
      <c r="D700" s="2">
        <f>[1]code!D697</f>
        <v>0</v>
      </c>
      <c r="E700" s="1">
        <f>[1]code!E697</f>
        <v>0</v>
      </c>
      <c r="F700" s="2">
        <f>[1]code!F697</f>
        <v>0</v>
      </c>
      <c r="G700" s="12">
        <f>[1]code!G697</f>
        <v>0</v>
      </c>
      <c r="I700" s="10" t="str">
        <f>IFERROR(VLOOKUP($B700,[1]INV!$B$7:$H$2575,7,0),"")</f>
        <v/>
      </c>
      <c r="J700" s="10" t="s">
        <v>7</v>
      </c>
      <c r="K700" s="10" t="s">
        <v>7</v>
      </c>
      <c r="L700" s="10"/>
      <c r="M700" s="10" t="str">
        <f>IFERROR(VLOOKUP($B700,[1]INV!$B$7:$H$2575,7,0),"")</f>
        <v/>
      </c>
      <c r="N700" s="10"/>
      <c r="O700" s="10"/>
      <c r="P700" s="10"/>
      <c r="Q700" s="10"/>
      <c r="R700" s="10"/>
      <c r="S700" s="10"/>
      <c r="T700" s="10"/>
      <c r="V700" s="1" t="str">
        <f t="shared" si="39"/>
        <v/>
      </c>
      <c r="W700" s="1" t="str">
        <f t="shared" si="40"/>
        <v/>
      </c>
      <c r="X700" s="1" t="str">
        <f t="shared" si="41"/>
        <v/>
      </c>
    </row>
    <row r="701" spans="2:24" x14ac:dyDescent="0.25">
      <c r="B701" s="11">
        <f>[1]code!B698</f>
        <v>0</v>
      </c>
      <c r="C701" s="2">
        <f>[1]code!C698</f>
        <v>0</v>
      </c>
      <c r="D701" s="2">
        <f>[1]code!D698</f>
        <v>0</v>
      </c>
      <c r="E701" s="1">
        <f>[1]code!E698</f>
        <v>0</v>
      </c>
      <c r="F701" s="2">
        <f>[1]code!F698</f>
        <v>0</v>
      </c>
      <c r="G701" s="12">
        <f>[1]code!G698</f>
        <v>0</v>
      </c>
      <c r="I701" s="10" t="str">
        <f>IFERROR(VLOOKUP($B701,[1]INV!$B$7:$H$2575,7,0),"")</f>
        <v/>
      </c>
      <c r="J701" s="10" t="s">
        <v>7</v>
      </c>
      <c r="K701" s="10" t="s">
        <v>7</v>
      </c>
      <c r="L701" s="10"/>
      <c r="M701" s="10" t="str">
        <f>IFERROR(VLOOKUP($B701,[1]INV!$B$7:$H$2575,7,0),"")</f>
        <v/>
      </c>
      <c r="N701" s="10"/>
      <c r="O701" s="10"/>
      <c r="P701" s="10"/>
      <c r="Q701" s="10"/>
      <c r="R701" s="10"/>
      <c r="S701" s="10"/>
      <c r="T701" s="10"/>
      <c r="V701" s="1" t="str">
        <f t="shared" si="39"/>
        <v/>
      </c>
      <c r="W701" s="1" t="str">
        <f t="shared" si="40"/>
        <v/>
      </c>
      <c r="X701" s="1" t="str">
        <f t="shared" si="41"/>
        <v/>
      </c>
    </row>
    <row r="702" spans="2:24" x14ac:dyDescent="0.25">
      <c r="B702" s="11">
        <f>[1]code!B699</f>
        <v>0</v>
      </c>
      <c r="C702" s="2">
        <f>[1]code!C699</f>
        <v>0</v>
      </c>
      <c r="D702" s="2">
        <f>[1]code!D699</f>
        <v>0</v>
      </c>
      <c r="E702" s="1">
        <f>[1]code!E699</f>
        <v>0</v>
      </c>
      <c r="F702" s="2">
        <f>[1]code!F699</f>
        <v>0</v>
      </c>
      <c r="G702" s="12">
        <f>[1]code!G699</f>
        <v>0</v>
      </c>
      <c r="I702" s="10" t="str">
        <f>IFERROR(VLOOKUP($B702,[1]INV!$B$7:$H$2575,7,0),"")</f>
        <v/>
      </c>
      <c r="J702" s="10" t="s">
        <v>7</v>
      </c>
      <c r="K702" s="10" t="s">
        <v>7</v>
      </c>
      <c r="L702" s="10"/>
      <c r="M702" s="10" t="str">
        <f>IFERROR(VLOOKUP($B702,[1]INV!$B$7:$H$2575,7,0),"")</f>
        <v/>
      </c>
      <c r="N702" s="10"/>
      <c r="O702" s="10"/>
      <c r="P702" s="10"/>
      <c r="Q702" s="10"/>
      <c r="R702" s="10"/>
      <c r="S702" s="10"/>
      <c r="T702" s="10"/>
      <c r="V702" s="1" t="str">
        <f t="shared" si="39"/>
        <v/>
      </c>
      <c r="W702" s="1" t="str">
        <f t="shared" si="40"/>
        <v/>
      </c>
      <c r="X702" s="1" t="str">
        <f t="shared" si="41"/>
        <v/>
      </c>
    </row>
    <row r="703" spans="2:24" x14ac:dyDescent="0.25">
      <c r="B703" s="11">
        <f>[1]code!B700</f>
        <v>0</v>
      </c>
      <c r="C703" s="2">
        <f>[1]code!C700</f>
        <v>0</v>
      </c>
      <c r="D703" s="2">
        <f>[1]code!D700</f>
        <v>0</v>
      </c>
      <c r="E703" s="1">
        <f>[1]code!E700</f>
        <v>0</v>
      </c>
      <c r="F703" s="2">
        <f>[1]code!F700</f>
        <v>0</v>
      </c>
      <c r="G703" s="12">
        <f>[1]code!G700</f>
        <v>0</v>
      </c>
      <c r="I703" s="10" t="str">
        <f>IFERROR(VLOOKUP($B703,[1]INV!$B$7:$H$2575,7,0),"")</f>
        <v/>
      </c>
      <c r="J703" s="10" t="s">
        <v>7</v>
      </c>
      <c r="K703" s="10" t="s">
        <v>7</v>
      </c>
      <c r="L703" s="10"/>
      <c r="M703" s="10" t="str">
        <f>IFERROR(VLOOKUP($B703,[1]INV!$B$7:$H$2575,7,0),"")</f>
        <v/>
      </c>
      <c r="N703" s="10"/>
      <c r="O703" s="10"/>
      <c r="P703" s="10"/>
      <c r="Q703" s="10"/>
      <c r="R703" s="10"/>
      <c r="S703" s="10"/>
      <c r="T703" s="10"/>
      <c r="V703" s="1" t="str">
        <f t="shared" si="39"/>
        <v/>
      </c>
      <c r="W703" s="1" t="str">
        <f t="shared" si="40"/>
        <v/>
      </c>
      <c r="X703" s="1" t="str">
        <f t="shared" si="41"/>
        <v/>
      </c>
    </row>
    <row r="704" spans="2:24" x14ac:dyDescent="0.25">
      <c r="B704" s="11">
        <f>[1]code!B701</f>
        <v>0</v>
      </c>
      <c r="C704" s="2">
        <f>[1]code!C701</f>
        <v>0</v>
      </c>
      <c r="D704" s="2">
        <f>[1]code!D701</f>
        <v>0</v>
      </c>
      <c r="E704" s="1">
        <f>[1]code!E701</f>
        <v>0</v>
      </c>
      <c r="F704" s="2">
        <f>[1]code!F701</f>
        <v>0</v>
      </c>
      <c r="G704" s="12">
        <f>[1]code!G701</f>
        <v>0</v>
      </c>
      <c r="I704" s="10" t="str">
        <f>IFERROR(VLOOKUP($B704,[1]INV!$B$7:$H$2575,7,0),"")</f>
        <v/>
      </c>
      <c r="J704" s="10" t="s">
        <v>7</v>
      </c>
      <c r="K704" s="10" t="s">
        <v>7</v>
      </c>
      <c r="L704" s="10"/>
      <c r="M704" s="10" t="str">
        <f>IFERROR(VLOOKUP($B704,[1]INV!$B$7:$H$2575,7,0),"")</f>
        <v/>
      </c>
      <c r="N704" s="10"/>
      <c r="O704" s="10"/>
      <c r="P704" s="10"/>
      <c r="Q704" s="10"/>
      <c r="R704" s="10"/>
      <c r="S704" s="10"/>
      <c r="T704" s="10"/>
      <c r="V704" s="1" t="str">
        <f t="shared" si="39"/>
        <v/>
      </c>
      <c r="W704" s="1" t="str">
        <f t="shared" si="40"/>
        <v/>
      </c>
      <c r="X704" s="1" t="str">
        <f t="shared" si="41"/>
        <v/>
      </c>
    </row>
    <row r="705" spans="2:24" x14ac:dyDescent="0.25">
      <c r="B705" s="11">
        <f>[1]code!B702</f>
        <v>0</v>
      </c>
      <c r="C705" s="2">
        <f>[1]code!C702</f>
        <v>0</v>
      </c>
      <c r="D705" s="2">
        <f>[1]code!D702</f>
        <v>0</v>
      </c>
      <c r="E705" s="1">
        <f>[1]code!E702</f>
        <v>0</v>
      </c>
      <c r="F705" s="2">
        <f>[1]code!F702</f>
        <v>0</v>
      </c>
      <c r="G705" s="12">
        <f>[1]code!G702</f>
        <v>0</v>
      </c>
      <c r="I705" s="10" t="str">
        <f>IFERROR(VLOOKUP($B705,[1]INV!$B$7:$H$2575,7,0),"")</f>
        <v/>
      </c>
      <c r="J705" s="10" t="s">
        <v>7</v>
      </c>
      <c r="K705" s="10" t="s">
        <v>7</v>
      </c>
      <c r="L705" s="10"/>
      <c r="M705" s="10" t="str">
        <f>IFERROR(VLOOKUP($B705,[1]INV!$B$7:$H$2575,7,0),"")</f>
        <v/>
      </c>
      <c r="N705" s="10"/>
      <c r="O705" s="10"/>
      <c r="P705" s="10"/>
      <c r="Q705" s="10"/>
      <c r="R705" s="10"/>
      <c r="S705" s="10"/>
      <c r="T705" s="10"/>
      <c r="V705" s="1" t="str">
        <f t="shared" si="39"/>
        <v/>
      </c>
      <c r="W705" s="1" t="str">
        <f t="shared" si="40"/>
        <v/>
      </c>
      <c r="X705" s="1" t="str">
        <f t="shared" si="41"/>
        <v/>
      </c>
    </row>
    <row r="706" spans="2:24" x14ac:dyDescent="0.25">
      <c r="B706" s="11">
        <f>[1]code!B703</f>
        <v>0</v>
      </c>
      <c r="C706" s="2">
        <f>[1]code!C703</f>
        <v>0</v>
      </c>
      <c r="D706" s="2">
        <f>[1]code!D703</f>
        <v>0</v>
      </c>
      <c r="E706" s="1">
        <f>[1]code!E703</f>
        <v>0</v>
      </c>
      <c r="F706" s="2">
        <f>[1]code!F703</f>
        <v>0</v>
      </c>
      <c r="G706" s="12">
        <f>[1]code!G703</f>
        <v>0</v>
      </c>
      <c r="I706" s="10" t="str">
        <f>IFERROR(VLOOKUP($B706,[1]INV!$B$7:$H$2575,7,0),"")</f>
        <v/>
      </c>
      <c r="J706" s="10" t="s">
        <v>7</v>
      </c>
      <c r="K706" s="10" t="s">
        <v>7</v>
      </c>
      <c r="L706" s="10"/>
      <c r="M706" s="10" t="str">
        <f>IFERROR(VLOOKUP($B706,[1]INV!$B$7:$H$2575,7,0),"")</f>
        <v/>
      </c>
      <c r="N706" s="10"/>
      <c r="O706" s="10"/>
      <c r="P706" s="10"/>
      <c r="Q706" s="10"/>
      <c r="R706" s="10"/>
      <c r="S706" s="10"/>
      <c r="T706" s="10"/>
      <c r="V706" s="1" t="str">
        <f t="shared" si="39"/>
        <v/>
      </c>
      <c r="W706" s="1" t="str">
        <f t="shared" si="40"/>
        <v/>
      </c>
      <c r="X706" s="1" t="str">
        <f t="shared" si="41"/>
        <v/>
      </c>
    </row>
    <row r="707" spans="2:24" x14ac:dyDescent="0.25">
      <c r="B707" s="11">
        <f>[1]code!B704</f>
        <v>0</v>
      </c>
      <c r="C707" s="2">
        <f>[1]code!C704</f>
        <v>0</v>
      </c>
      <c r="D707" s="2">
        <f>[1]code!D704</f>
        <v>0</v>
      </c>
      <c r="E707" s="1">
        <f>[1]code!E704</f>
        <v>0</v>
      </c>
      <c r="F707" s="2">
        <f>[1]code!F704</f>
        <v>0</v>
      </c>
      <c r="G707" s="12">
        <f>[1]code!G704</f>
        <v>0</v>
      </c>
      <c r="I707" s="10" t="str">
        <f>IFERROR(VLOOKUP($B707,[1]INV!$B$7:$H$2575,7,0),"")</f>
        <v/>
      </c>
      <c r="J707" s="10" t="s">
        <v>7</v>
      </c>
      <c r="K707" s="10" t="s">
        <v>7</v>
      </c>
      <c r="L707" s="10"/>
      <c r="M707" s="10" t="str">
        <f>IFERROR(VLOOKUP($B707,[1]INV!$B$7:$H$2575,7,0),"")</f>
        <v/>
      </c>
      <c r="N707" s="10"/>
      <c r="O707" s="10"/>
      <c r="P707" s="10"/>
      <c r="Q707" s="10"/>
      <c r="R707" s="10"/>
      <c r="S707" s="10"/>
      <c r="T707" s="10"/>
      <c r="V707" s="1" t="str">
        <f t="shared" si="39"/>
        <v/>
      </c>
      <c r="W707" s="1" t="str">
        <f t="shared" si="40"/>
        <v/>
      </c>
      <c r="X707" s="1" t="str">
        <f t="shared" si="41"/>
        <v/>
      </c>
    </row>
    <row r="708" spans="2:24" x14ac:dyDescent="0.25">
      <c r="B708" s="11">
        <f>[1]code!B705</f>
        <v>0</v>
      </c>
      <c r="C708" s="2">
        <f>[1]code!C705</f>
        <v>0</v>
      </c>
      <c r="D708" s="2">
        <f>[1]code!D705</f>
        <v>0</v>
      </c>
      <c r="E708" s="1">
        <f>[1]code!E705</f>
        <v>0</v>
      </c>
      <c r="F708" s="2">
        <f>[1]code!F705</f>
        <v>0</v>
      </c>
      <c r="G708" s="12">
        <f>[1]code!G705</f>
        <v>0</v>
      </c>
      <c r="I708" s="10" t="str">
        <f>IFERROR(VLOOKUP($B708,[1]INV!$B$7:$H$2575,7,0),"")</f>
        <v/>
      </c>
      <c r="J708" s="10" t="s">
        <v>7</v>
      </c>
      <c r="K708" s="10" t="s">
        <v>7</v>
      </c>
      <c r="L708" s="10"/>
      <c r="M708" s="10" t="str">
        <f>IFERROR(VLOOKUP($B708,[1]INV!$B$7:$H$2575,7,0),"")</f>
        <v/>
      </c>
      <c r="N708" s="10"/>
      <c r="O708" s="10"/>
      <c r="P708" s="10"/>
      <c r="Q708" s="10"/>
      <c r="R708" s="10"/>
      <c r="S708" s="10"/>
      <c r="T708" s="10"/>
      <c r="V708" s="1" t="str">
        <f t="shared" si="39"/>
        <v/>
      </c>
      <c r="W708" s="1" t="str">
        <f t="shared" si="40"/>
        <v/>
      </c>
      <c r="X708" s="1" t="str">
        <f t="shared" si="41"/>
        <v/>
      </c>
    </row>
    <row r="709" spans="2:24" x14ac:dyDescent="0.25">
      <c r="B709" s="11">
        <f>[1]code!B706</f>
        <v>0</v>
      </c>
      <c r="C709" s="2">
        <f>[1]code!C706</f>
        <v>0</v>
      </c>
      <c r="D709" s="2">
        <f>[1]code!D706</f>
        <v>0</v>
      </c>
      <c r="E709" s="1">
        <f>[1]code!E706</f>
        <v>0</v>
      </c>
      <c r="F709" s="2">
        <f>[1]code!F706</f>
        <v>0</v>
      </c>
      <c r="G709" s="12">
        <f>[1]code!G706</f>
        <v>0</v>
      </c>
      <c r="I709" s="10" t="str">
        <f>IFERROR(VLOOKUP($B709,[1]INV!$B$7:$H$2575,7,0),"")</f>
        <v/>
      </c>
      <c r="J709" s="10" t="s">
        <v>7</v>
      </c>
      <c r="K709" s="10" t="s">
        <v>7</v>
      </c>
      <c r="L709" s="10"/>
      <c r="M709" s="10" t="str">
        <f>IFERROR(VLOOKUP($B709,[1]INV!$B$7:$H$2575,7,0),"")</f>
        <v/>
      </c>
      <c r="N709" s="10"/>
      <c r="O709" s="10"/>
      <c r="P709" s="10"/>
      <c r="Q709" s="10"/>
      <c r="R709" s="10"/>
      <c r="S709" s="10"/>
      <c r="T709" s="10"/>
      <c r="V709" s="1" t="str">
        <f t="shared" si="39"/>
        <v/>
      </c>
      <c r="W709" s="1" t="str">
        <f t="shared" si="40"/>
        <v/>
      </c>
      <c r="X709" s="1" t="str">
        <f t="shared" si="41"/>
        <v/>
      </c>
    </row>
    <row r="710" spans="2:24" x14ac:dyDescent="0.25">
      <c r="B710" s="11">
        <f>[1]code!B707</f>
        <v>0</v>
      </c>
      <c r="C710" s="2">
        <f>[1]code!C707</f>
        <v>0</v>
      </c>
      <c r="D710" s="2">
        <f>[1]code!D707</f>
        <v>0</v>
      </c>
      <c r="E710" s="1">
        <f>[1]code!E707</f>
        <v>0</v>
      </c>
      <c r="F710" s="2">
        <f>[1]code!F707</f>
        <v>0</v>
      </c>
      <c r="G710" s="12">
        <f>[1]code!G707</f>
        <v>0</v>
      </c>
      <c r="I710" s="10" t="str">
        <f>IFERROR(VLOOKUP($B710,[1]INV!$B$7:$H$2575,7,0),"")</f>
        <v/>
      </c>
      <c r="J710" s="10" t="s">
        <v>7</v>
      </c>
      <c r="K710" s="10" t="s">
        <v>7</v>
      </c>
      <c r="L710" s="10"/>
      <c r="M710" s="10" t="str">
        <f>IFERROR(VLOOKUP($B710,[1]INV!$B$7:$H$2575,7,0),"")</f>
        <v/>
      </c>
      <c r="N710" s="10"/>
      <c r="O710" s="10"/>
      <c r="P710" s="10"/>
      <c r="Q710" s="10"/>
      <c r="R710" s="10"/>
      <c r="S710" s="10"/>
      <c r="T710" s="10"/>
      <c r="V710" s="1" t="str">
        <f t="shared" si="39"/>
        <v/>
      </c>
      <c r="W710" s="1" t="str">
        <f t="shared" si="40"/>
        <v/>
      </c>
      <c r="X710" s="1" t="str">
        <f t="shared" si="41"/>
        <v/>
      </c>
    </row>
    <row r="711" spans="2:24" x14ac:dyDescent="0.25">
      <c r="B711" s="11">
        <f>[1]code!B708</f>
        <v>0</v>
      </c>
      <c r="C711" s="2">
        <f>[1]code!C708</f>
        <v>0</v>
      </c>
      <c r="D711" s="2">
        <f>[1]code!D708</f>
        <v>0</v>
      </c>
      <c r="E711" s="1">
        <f>[1]code!E708</f>
        <v>0</v>
      </c>
      <c r="F711" s="2">
        <f>[1]code!F708</f>
        <v>0</v>
      </c>
      <c r="G711" s="12">
        <f>[1]code!G708</f>
        <v>0</v>
      </c>
      <c r="I711" s="10" t="str">
        <f>IFERROR(VLOOKUP($B711,[1]INV!$B$7:$H$2575,7,0),"")</f>
        <v/>
      </c>
      <c r="J711" s="10" t="s">
        <v>7</v>
      </c>
      <c r="K711" s="10" t="s">
        <v>7</v>
      </c>
      <c r="L711" s="10"/>
      <c r="M711" s="10" t="str">
        <f>IFERROR(VLOOKUP($B711,[1]INV!$B$7:$H$2575,7,0),"")</f>
        <v/>
      </c>
      <c r="N711" s="10"/>
      <c r="O711" s="10"/>
      <c r="P711" s="10"/>
      <c r="Q711" s="10"/>
      <c r="R711" s="10"/>
      <c r="S711" s="10"/>
      <c r="T711" s="10"/>
      <c r="V711" s="1" t="str">
        <f t="shared" si="39"/>
        <v/>
      </c>
      <c r="W711" s="1" t="str">
        <f t="shared" si="40"/>
        <v/>
      </c>
      <c r="X711" s="1" t="str">
        <f t="shared" si="41"/>
        <v/>
      </c>
    </row>
    <row r="712" spans="2:24" x14ac:dyDescent="0.25">
      <c r="B712" s="11">
        <f>[1]code!B709</f>
        <v>0</v>
      </c>
      <c r="C712" s="2">
        <f>[1]code!C709</f>
        <v>0</v>
      </c>
      <c r="D712" s="2">
        <f>[1]code!D709</f>
        <v>0</v>
      </c>
      <c r="E712" s="1">
        <f>[1]code!E709</f>
        <v>0</v>
      </c>
      <c r="F712" s="2">
        <f>[1]code!F709</f>
        <v>0</v>
      </c>
      <c r="G712" s="12">
        <f>[1]code!G709</f>
        <v>0</v>
      </c>
      <c r="I712" s="10" t="str">
        <f>IFERROR(VLOOKUP($B712,[1]INV!$B$7:$H$2575,7,0),"")</f>
        <v/>
      </c>
      <c r="J712" s="10" t="s">
        <v>7</v>
      </c>
      <c r="K712" s="10" t="s">
        <v>7</v>
      </c>
      <c r="L712" s="10"/>
      <c r="M712" s="10" t="str">
        <f>IFERROR(VLOOKUP($B712,[1]INV!$B$7:$H$2575,7,0),"")</f>
        <v/>
      </c>
      <c r="N712" s="10"/>
      <c r="O712" s="10"/>
      <c r="P712" s="10"/>
      <c r="Q712" s="10"/>
      <c r="R712" s="10"/>
      <c r="S712" s="10"/>
      <c r="T712" s="10"/>
      <c r="V712" s="1" t="str">
        <f t="shared" ref="V712:V775" si="42">IF($J712="",$I712,$J712)</f>
        <v/>
      </c>
      <c r="W712" s="1" t="str">
        <f t="shared" ref="W712:W775" si="43">IF($K712="",$J712,$K712)</f>
        <v/>
      </c>
      <c r="X712" s="1" t="str">
        <f t="shared" ref="X712:X775" si="44">IF($L712="",$K712,$L712)</f>
        <v/>
      </c>
    </row>
    <row r="713" spans="2:24" x14ac:dyDescent="0.25">
      <c r="B713" s="11">
        <f>[1]code!B710</f>
        <v>0</v>
      </c>
      <c r="C713" s="2">
        <f>[1]code!C710</f>
        <v>0</v>
      </c>
      <c r="D713" s="2">
        <f>[1]code!D710</f>
        <v>0</v>
      </c>
      <c r="E713" s="1">
        <f>[1]code!E710</f>
        <v>0</v>
      </c>
      <c r="F713" s="2">
        <f>[1]code!F710</f>
        <v>0</v>
      </c>
      <c r="G713" s="12">
        <f>[1]code!G710</f>
        <v>0</v>
      </c>
      <c r="I713" s="10" t="str">
        <f>IFERROR(VLOOKUP($B713,[1]INV!$B$7:$H$2575,7,0),"")</f>
        <v/>
      </c>
      <c r="J713" s="10" t="s">
        <v>7</v>
      </c>
      <c r="K713" s="10" t="s">
        <v>7</v>
      </c>
      <c r="L713" s="10"/>
      <c r="M713" s="10" t="str">
        <f>IFERROR(VLOOKUP($B713,[1]INV!$B$7:$H$2575,7,0),"")</f>
        <v/>
      </c>
      <c r="N713" s="10"/>
      <c r="O713" s="10"/>
      <c r="P713" s="10"/>
      <c r="Q713" s="10"/>
      <c r="R713" s="10"/>
      <c r="S713" s="10"/>
      <c r="T713" s="10"/>
      <c r="V713" s="1" t="str">
        <f t="shared" si="42"/>
        <v/>
      </c>
      <c r="W713" s="1" t="str">
        <f t="shared" si="43"/>
        <v/>
      </c>
      <c r="X713" s="1" t="str">
        <f t="shared" si="44"/>
        <v/>
      </c>
    </row>
    <row r="714" spans="2:24" x14ac:dyDescent="0.25">
      <c r="B714" s="11">
        <f>[1]code!B711</f>
        <v>0</v>
      </c>
      <c r="C714" s="2">
        <f>[1]code!C711</f>
        <v>0</v>
      </c>
      <c r="D714" s="2">
        <f>[1]code!D711</f>
        <v>0</v>
      </c>
      <c r="E714" s="1">
        <f>[1]code!E711</f>
        <v>0</v>
      </c>
      <c r="F714" s="2">
        <f>[1]code!F711</f>
        <v>0</v>
      </c>
      <c r="G714" s="12">
        <f>[1]code!G711</f>
        <v>0</v>
      </c>
      <c r="I714" s="10" t="str">
        <f>IFERROR(VLOOKUP($B714,[1]INV!$B$7:$H$2575,7,0),"")</f>
        <v/>
      </c>
      <c r="J714" s="10" t="s">
        <v>7</v>
      </c>
      <c r="K714" s="10" t="s">
        <v>7</v>
      </c>
      <c r="L714" s="10"/>
      <c r="M714" s="10" t="str">
        <f>IFERROR(VLOOKUP($B714,[1]INV!$B$7:$H$2575,7,0),"")</f>
        <v/>
      </c>
      <c r="N714" s="10"/>
      <c r="O714" s="10"/>
      <c r="P714" s="10"/>
      <c r="Q714" s="10"/>
      <c r="R714" s="10"/>
      <c r="S714" s="10"/>
      <c r="T714" s="10"/>
      <c r="V714" s="1" t="str">
        <f t="shared" si="42"/>
        <v/>
      </c>
      <c r="W714" s="1" t="str">
        <f t="shared" si="43"/>
        <v/>
      </c>
      <c r="X714" s="1" t="str">
        <f t="shared" si="44"/>
        <v/>
      </c>
    </row>
    <row r="715" spans="2:24" x14ac:dyDescent="0.25">
      <c r="B715" s="11">
        <f>[1]code!B712</f>
        <v>0</v>
      </c>
      <c r="C715" s="2">
        <f>[1]code!C712</f>
        <v>0</v>
      </c>
      <c r="D715" s="2">
        <f>[1]code!D712</f>
        <v>0</v>
      </c>
      <c r="E715" s="1">
        <f>[1]code!E712</f>
        <v>0</v>
      </c>
      <c r="F715" s="2">
        <f>[1]code!F712</f>
        <v>0</v>
      </c>
      <c r="G715" s="12">
        <f>[1]code!G712</f>
        <v>0</v>
      </c>
      <c r="I715" s="10" t="str">
        <f>IFERROR(VLOOKUP($B715,[1]INV!$B$7:$H$2575,7,0),"")</f>
        <v/>
      </c>
      <c r="J715" s="10" t="s">
        <v>7</v>
      </c>
      <c r="K715" s="10" t="s">
        <v>7</v>
      </c>
      <c r="L715" s="10"/>
      <c r="M715" s="10" t="str">
        <f>IFERROR(VLOOKUP($B715,[1]INV!$B$7:$H$2575,7,0),"")</f>
        <v/>
      </c>
      <c r="N715" s="10"/>
      <c r="O715" s="10"/>
      <c r="P715" s="10"/>
      <c r="Q715" s="10"/>
      <c r="R715" s="10"/>
      <c r="S715" s="10"/>
      <c r="T715" s="10"/>
      <c r="V715" s="1" t="str">
        <f t="shared" si="42"/>
        <v/>
      </c>
      <c r="W715" s="1" t="str">
        <f t="shared" si="43"/>
        <v/>
      </c>
      <c r="X715" s="1" t="str">
        <f t="shared" si="44"/>
        <v/>
      </c>
    </row>
    <row r="716" spans="2:24" x14ac:dyDescent="0.25">
      <c r="B716" s="11">
        <f>[1]code!B713</f>
        <v>0</v>
      </c>
      <c r="C716" s="2">
        <f>[1]code!C713</f>
        <v>0</v>
      </c>
      <c r="D716" s="2">
        <f>[1]code!D713</f>
        <v>0</v>
      </c>
      <c r="E716" s="1">
        <f>[1]code!E713</f>
        <v>0</v>
      </c>
      <c r="F716" s="2">
        <f>[1]code!F713</f>
        <v>0</v>
      </c>
      <c r="G716" s="12">
        <f>[1]code!G713</f>
        <v>0</v>
      </c>
      <c r="I716" s="10" t="str">
        <f>IFERROR(VLOOKUP($B716,[1]INV!$B$7:$H$2575,7,0),"")</f>
        <v/>
      </c>
      <c r="J716" s="10" t="s">
        <v>7</v>
      </c>
      <c r="K716" s="10" t="s">
        <v>7</v>
      </c>
      <c r="L716" s="10"/>
      <c r="M716" s="10" t="str">
        <f>IFERROR(VLOOKUP($B716,[1]INV!$B$7:$H$2575,7,0),"")</f>
        <v/>
      </c>
      <c r="N716" s="10"/>
      <c r="O716" s="10"/>
      <c r="P716" s="10"/>
      <c r="Q716" s="10"/>
      <c r="R716" s="10"/>
      <c r="S716" s="10"/>
      <c r="T716" s="10"/>
      <c r="V716" s="1" t="str">
        <f t="shared" si="42"/>
        <v/>
      </c>
      <c r="W716" s="1" t="str">
        <f t="shared" si="43"/>
        <v/>
      </c>
      <c r="X716" s="1" t="str">
        <f t="shared" si="44"/>
        <v/>
      </c>
    </row>
    <row r="717" spans="2:24" x14ac:dyDescent="0.25">
      <c r="B717" s="11">
        <f>[1]code!B714</f>
        <v>0</v>
      </c>
      <c r="C717" s="2">
        <f>[1]code!C714</f>
        <v>0</v>
      </c>
      <c r="D717" s="2">
        <f>[1]code!D714</f>
        <v>0</v>
      </c>
      <c r="E717" s="1">
        <f>[1]code!E714</f>
        <v>0</v>
      </c>
      <c r="F717" s="2">
        <f>[1]code!F714</f>
        <v>0</v>
      </c>
      <c r="G717" s="12">
        <f>[1]code!G714</f>
        <v>0</v>
      </c>
      <c r="I717" s="10" t="str">
        <f>IFERROR(VLOOKUP($B717,[1]INV!$B$7:$H$2575,7,0),"")</f>
        <v/>
      </c>
      <c r="J717" s="10" t="s">
        <v>7</v>
      </c>
      <c r="K717" s="10" t="s">
        <v>7</v>
      </c>
      <c r="L717" s="10"/>
      <c r="M717" s="10" t="str">
        <f>IFERROR(VLOOKUP($B717,[1]INV!$B$7:$H$2575,7,0),"")</f>
        <v/>
      </c>
      <c r="N717" s="10"/>
      <c r="O717" s="10"/>
      <c r="P717" s="10"/>
      <c r="Q717" s="10"/>
      <c r="R717" s="10"/>
      <c r="S717" s="10"/>
      <c r="T717" s="10"/>
      <c r="V717" s="1" t="str">
        <f t="shared" si="42"/>
        <v/>
      </c>
      <c r="W717" s="1" t="str">
        <f t="shared" si="43"/>
        <v/>
      </c>
      <c r="X717" s="1" t="str">
        <f t="shared" si="44"/>
        <v/>
      </c>
    </row>
    <row r="718" spans="2:24" x14ac:dyDescent="0.25">
      <c r="B718" s="11">
        <f>[1]code!B715</f>
        <v>0</v>
      </c>
      <c r="C718" s="2">
        <f>[1]code!C715</f>
        <v>0</v>
      </c>
      <c r="D718" s="2">
        <f>[1]code!D715</f>
        <v>0</v>
      </c>
      <c r="E718" s="1">
        <f>[1]code!E715</f>
        <v>0</v>
      </c>
      <c r="F718" s="2">
        <f>[1]code!F715</f>
        <v>0</v>
      </c>
      <c r="G718" s="12">
        <f>[1]code!G715</f>
        <v>0</v>
      </c>
      <c r="I718" s="10" t="str">
        <f>IFERROR(VLOOKUP($B718,[1]INV!$B$7:$H$2575,7,0),"")</f>
        <v/>
      </c>
      <c r="J718" s="10" t="s">
        <v>7</v>
      </c>
      <c r="K718" s="10" t="s">
        <v>7</v>
      </c>
      <c r="L718" s="10"/>
      <c r="M718" s="10" t="str">
        <f>IFERROR(VLOOKUP($B718,[1]INV!$B$7:$H$2575,7,0),"")</f>
        <v/>
      </c>
      <c r="N718" s="10"/>
      <c r="O718" s="10"/>
      <c r="P718" s="10"/>
      <c r="Q718" s="10"/>
      <c r="R718" s="10"/>
      <c r="S718" s="10"/>
      <c r="T718" s="10"/>
      <c r="V718" s="1" t="str">
        <f t="shared" si="42"/>
        <v/>
      </c>
      <c r="W718" s="1" t="str">
        <f t="shared" si="43"/>
        <v/>
      </c>
      <c r="X718" s="1" t="str">
        <f t="shared" si="44"/>
        <v/>
      </c>
    </row>
    <row r="719" spans="2:24" x14ac:dyDescent="0.25">
      <c r="B719" s="11">
        <f>[1]code!B716</f>
        <v>0</v>
      </c>
      <c r="C719" s="2">
        <f>[1]code!C716</f>
        <v>0</v>
      </c>
      <c r="D719" s="2">
        <f>[1]code!D716</f>
        <v>0</v>
      </c>
      <c r="E719" s="1">
        <f>[1]code!E716</f>
        <v>0</v>
      </c>
      <c r="F719" s="2">
        <f>[1]code!F716</f>
        <v>0</v>
      </c>
      <c r="G719" s="12">
        <f>[1]code!G716</f>
        <v>0</v>
      </c>
      <c r="I719" s="10" t="str">
        <f>IFERROR(VLOOKUP($B719,[1]INV!$B$7:$H$2575,7,0),"")</f>
        <v/>
      </c>
      <c r="J719" s="10" t="s">
        <v>7</v>
      </c>
      <c r="K719" s="10" t="s">
        <v>7</v>
      </c>
      <c r="L719" s="10"/>
      <c r="M719" s="10" t="str">
        <f>IFERROR(VLOOKUP($B719,[1]INV!$B$7:$H$2575,7,0),"")</f>
        <v/>
      </c>
      <c r="N719" s="10"/>
      <c r="O719" s="10"/>
      <c r="P719" s="10"/>
      <c r="Q719" s="10"/>
      <c r="R719" s="10"/>
      <c r="S719" s="10"/>
      <c r="T719" s="10"/>
      <c r="V719" s="1" t="str">
        <f t="shared" si="42"/>
        <v/>
      </c>
      <c r="W719" s="1" t="str">
        <f t="shared" si="43"/>
        <v/>
      </c>
      <c r="X719" s="1" t="str">
        <f t="shared" si="44"/>
        <v/>
      </c>
    </row>
    <row r="720" spans="2:24" x14ac:dyDescent="0.25">
      <c r="B720" s="11">
        <f>[1]code!B717</f>
        <v>0</v>
      </c>
      <c r="C720" s="2">
        <f>[1]code!C717</f>
        <v>0</v>
      </c>
      <c r="D720" s="2">
        <f>[1]code!D717</f>
        <v>0</v>
      </c>
      <c r="E720" s="1">
        <f>[1]code!E717</f>
        <v>0</v>
      </c>
      <c r="F720" s="2">
        <f>[1]code!F717</f>
        <v>0</v>
      </c>
      <c r="G720" s="12">
        <f>[1]code!G717</f>
        <v>0</v>
      </c>
      <c r="I720" s="10" t="str">
        <f>IFERROR(VLOOKUP($B720,[1]INV!$B$7:$H$2575,7,0),"")</f>
        <v/>
      </c>
      <c r="J720" s="10" t="s">
        <v>7</v>
      </c>
      <c r="K720" s="10" t="s">
        <v>7</v>
      </c>
      <c r="L720" s="10"/>
      <c r="M720" s="10" t="str">
        <f>IFERROR(VLOOKUP($B720,[1]INV!$B$7:$H$2575,7,0),"")</f>
        <v/>
      </c>
      <c r="N720" s="10"/>
      <c r="O720" s="10"/>
      <c r="P720" s="10"/>
      <c r="Q720" s="10"/>
      <c r="R720" s="10"/>
      <c r="S720" s="10"/>
      <c r="T720" s="10"/>
      <c r="V720" s="1" t="str">
        <f t="shared" si="42"/>
        <v/>
      </c>
      <c r="W720" s="1" t="str">
        <f t="shared" si="43"/>
        <v/>
      </c>
      <c r="X720" s="1" t="str">
        <f t="shared" si="44"/>
        <v/>
      </c>
    </row>
    <row r="721" spans="2:24" x14ac:dyDescent="0.25">
      <c r="B721" s="11">
        <f>[1]code!B718</f>
        <v>0</v>
      </c>
      <c r="C721" s="2">
        <f>[1]code!C718</f>
        <v>0</v>
      </c>
      <c r="D721" s="2">
        <f>[1]code!D718</f>
        <v>0</v>
      </c>
      <c r="E721" s="1">
        <f>[1]code!E718</f>
        <v>0</v>
      </c>
      <c r="F721" s="2">
        <f>[1]code!F718</f>
        <v>0</v>
      </c>
      <c r="G721" s="12">
        <f>[1]code!G718</f>
        <v>0</v>
      </c>
      <c r="I721" s="10" t="str">
        <f>IFERROR(VLOOKUP($B721,[1]INV!$B$7:$H$2575,7,0),"")</f>
        <v/>
      </c>
      <c r="J721" s="10" t="s">
        <v>7</v>
      </c>
      <c r="K721" s="10" t="s">
        <v>7</v>
      </c>
      <c r="L721" s="10"/>
      <c r="M721" s="10" t="str">
        <f>IFERROR(VLOOKUP($B721,[1]INV!$B$7:$H$2575,7,0),"")</f>
        <v/>
      </c>
      <c r="N721" s="10"/>
      <c r="O721" s="10"/>
      <c r="P721" s="10"/>
      <c r="Q721" s="10"/>
      <c r="R721" s="10"/>
      <c r="S721" s="10"/>
      <c r="T721" s="10"/>
      <c r="V721" s="1" t="str">
        <f t="shared" si="42"/>
        <v/>
      </c>
      <c r="W721" s="1" t="str">
        <f t="shared" si="43"/>
        <v/>
      </c>
      <c r="X721" s="1" t="str">
        <f t="shared" si="44"/>
        <v/>
      </c>
    </row>
    <row r="722" spans="2:24" x14ac:dyDescent="0.25">
      <c r="B722" s="11">
        <f>[1]code!B719</f>
        <v>0</v>
      </c>
      <c r="C722" s="2">
        <f>[1]code!C719</f>
        <v>0</v>
      </c>
      <c r="D722" s="2">
        <f>[1]code!D719</f>
        <v>0</v>
      </c>
      <c r="E722" s="1">
        <f>[1]code!E719</f>
        <v>0</v>
      </c>
      <c r="F722" s="2">
        <f>[1]code!F719</f>
        <v>0</v>
      </c>
      <c r="G722" s="12">
        <f>[1]code!G719</f>
        <v>0</v>
      </c>
      <c r="I722" s="10" t="str">
        <f>IFERROR(VLOOKUP($B722,[1]INV!$B$7:$H$2575,7,0),"")</f>
        <v/>
      </c>
      <c r="J722" s="10" t="s">
        <v>7</v>
      </c>
      <c r="K722" s="10" t="s">
        <v>7</v>
      </c>
      <c r="L722" s="10"/>
      <c r="M722" s="10" t="str">
        <f>IFERROR(VLOOKUP($B722,[1]INV!$B$7:$H$2575,7,0),"")</f>
        <v/>
      </c>
      <c r="N722" s="10"/>
      <c r="O722" s="10"/>
      <c r="P722" s="10"/>
      <c r="Q722" s="10"/>
      <c r="R722" s="10"/>
      <c r="S722" s="10"/>
      <c r="T722" s="10"/>
      <c r="V722" s="1" t="str">
        <f t="shared" si="42"/>
        <v/>
      </c>
      <c r="W722" s="1" t="str">
        <f t="shared" si="43"/>
        <v/>
      </c>
      <c r="X722" s="1" t="str">
        <f t="shared" si="44"/>
        <v/>
      </c>
    </row>
    <row r="723" spans="2:24" x14ac:dyDescent="0.25">
      <c r="B723" s="11">
        <f>[1]code!B720</f>
        <v>0</v>
      </c>
      <c r="C723" s="2">
        <f>[1]code!C720</f>
        <v>0</v>
      </c>
      <c r="D723" s="2">
        <f>[1]code!D720</f>
        <v>0</v>
      </c>
      <c r="E723" s="1">
        <f>[1]code!E720</f>
        <v>0</v>
      </c>
      <c r="F723" s="2">
        <f>[1]code!F720</f>
        <v>0</v>
      </c>
      <c r="G723" s="12">
        <f>[1]code!G720</f>
        <v>0</v>
      </c>
      <c r="I723" s="10" t="str">
        <f>IFERROR(VLOOKUP($B723,[1]INV!$B$7:$H$2575,7,0),"")</f>
        <v/>
      </c>
      <c r="J723" s="10" t="s">
        <v>7</v>
      </c>
      <c r="K723" s="10" t="s">
        <v>7</v>
      </c>
      <c r="L723" s="10"/>
      <c r="M723" s="10" t="str">
        <f>IFERROR(VLOOKUP($B723,[1]INV!$B$7:$H$2575,7,0),"")</f>
        <v/>
      </c>
      <c r="N723" s="10"/>
      <c r="O723" s="10"/>
      <c r="P723" s="10"/>
      <c r="Q723" s="10"/>
      <c r="R723" s="10"/>
      <c r="S723" s="10"/>
      <c r="T723" s="10"/>
      <c r="V723" s="1" t="str">
        <f t="shared" si="42"/>
        <v/>
      </c>
      <c r="W723" s="1" t="str">
        <f t="shared" si="43"/>
        <v/>
      </c>
      <c r="X723" s="1" t="str">
        <f t="shared" si="44"/>
        <v/>
      </c>
    </row>
    <row r="724" spans="2:24" x14ac:dyDescent="0.25">
      <c r="B724" s="11">
        <f>[1]code!B721</f>
        <v>0</v>
      </c>
      <c r="C724" s="2">
        <f>[1]code!C721</f>
        <v>0</v>
      </c>
      <c r="D724" s="2">
        <f>[1]code!D721</f>
        <v>0</v>
      </c>
      <c r="E724" s="1">
        <f>[1]code!E721</f>
        <v>0</v>
      </c>
      <c r="F724" s="2">
        <f>[1]code!F721</f>
        <v>0</v>
      </c>
      <c r="G724" s="12">
        <f>[1]code!G721</f>
        <v>0</v>
      </c>
      <c r="I724" s="10" t="str">
        <f>IFERROR(VLOOKUP($B724,[1]INV!$B$7:$H$2575,7,0),"")</f>
        <v/>
      </c>
      <c r="J724" s="10" t="s">
        <v>7</v>
      </c>
      <c r="K724" s="10" t="s">
        <v>7</v>
      </c>
      <c r="L724" s="10"/>
      <c r="M724" s="10" t="str">
        <f>IFERROR(VLOOKUP($B724,[1]INV!$B$7:$H$2575,7,0),"")</f>
        <v/>
      </c>
      <c r="N724" s="10"/>
      <c r="O724" s="10"/>
      <c r="P724" s="10"/>
      <c r="Q724" s="10"/>
      <c r="R724" s="10"/>
      <c r="S724" s="10"/>
      <c r="T724" s="10"/>
      <c r="V724" s="1" t="str">
        <f t="shared" si="42"/>
        <v/>
      </c>
      <c r="W724" s="1" t="str">
        <f t="shared" si="43"/>
        <v/>
      </c>
      <c r="X724" s="1" t="str">
        <f t="shared" si="44"/>
        <v/>
      </c>
    </row>
    <row r="725" spans="2:24" x14ac:dyDescent="0.25">
      <c r="B725" s="11">
        <f>[1]code!B722</f>
        <v>0</v>
      </c>
      <c r="C725" s="2">
        <f>[1]code!C722</f>
        <v>0</v>
      </c>
      <c r="D725" s="2">
        <f>[1]code!D722</f>
        <v>0</v>
      </c>
      <c r="E725" s="1">
        <f>[1]code!E722</f>
        <v>0</v>
      </c>
      <c r="F725" s="2">
        <f>[1]code!F722</f>
        <v>0</v>
      </c>
      <c r="G725" s="12">
        <f>[1]code!G722</f>
        <v>0</v>
      </c>
      <c r="I725" s="10" t="str">
        <f>IFERROR(VLOOKUP($B725,[1]INV!$B$7:$H$2575,7,0),"")</f>
        <v/>
      </c>
      <c r="J725" s="10" t="s">
        <v>7</v>
      </c>
      <c r="K725" s="10" t="s">
        <v>7</v>
      </c>
      <c r="L725" s="10"/>
      <c r="M725" s="10" t="str">
        <f>IFERROR(VLOOKUP($B725,[1]INV!$B$7:$H$2575,7,0),"")</f>
        <v/>
      </c>
      <c r="N725" s="10"/>
      <c r="O725" s="10"/>
      <c r="P725" s="10"/>
      <c r="Q725" s="10"/>
      <c r="R725" s="10"/>
      <c r="S725" s="10"/>
      <c r="T725" s="10"/>
      <c r="V725" s="1" t="str">
        <f t="shared" si="42"/>
        <v/>
      </c>
      <c r="W725" s="1" t="str">
        <f t="shared" si="43"/>
        <v/>
      </c>
      <c r="X725" s="1" t="str">
        <f t="shared" si="44"/>
        <v/>
      </c>
    </row>
    <row r="726" spans="2:24" x14ac:dyDescent="0.25">
      <c r="B726" s="11">
        <f>[1]code!B723</f>
        <v>0</v>
      </c>
      <c r="C726" s="2">
        <f>[1]code!C723</f>
        <v>0</v>
      </c>
      <c r="D726" s="2">
        <f>[1]code!D723</f>
        <v>0</v>
      </c>
      <c r="E726" s="1">
        <f>[1]code!E723</f>
        <v>0</v>
      </c>
      <c r="F726" s="2">
        <f>[1]code!F723</f>
        <v>0</v>
      </c>
      <c r="G726" s="12">
        <f>[1]code!G723</f>
        <v>0</v>
      </c>
      <c r="I726" s="10" t="str">
        <f>IFERROR(VLOOKUP($B726,[1]INV!$B$7:$H$2575,7,0),"")</f>
        <v/>
      </c>
      <c r="J726" s="10" t="s">
        <v>7</v>
      </c>
      <c r="K726" s="10" t="s">
        <v>7</v>
      </c>
      <c r="L726" s="10"/>
      <c r="M726" s="10" t="str">
        <f>IFERROR(VLOOKUP($B726,[1]INV!$B$7:$H$2575,7,0),"")</f>
        <v/>
      </c>
      <c r="N726" s="10"/>
      <c r="O726" s="10"/>
      <c r="P726" s="10"/>
      <c r="Q726" s="10"/>
      <c r="R726" s="10"/>
      <c r="S726" s="10"/>
      <c r="T726" s="10"/>
      <c r="V726" s="1" t="str">
        <f t="shared" si="42"/>
        <v/>
      </c>
      <c r="W726" s="1" t="str">
        <f t="shared" si="43"/>
        <v/>
      </c>
      <c r="X726" s="1" t="str">
        <f t="shared" si="44"/>
        <v/>
      </c>
    </row>
    <row r="727" spans="2:24" x14ac:dyDescent="0.25">
      <c r="B727" s="11">
        <f>[1]code!B724</f>
        <v>0</v>
      </c>
      <c r="C727" s="2">
        <f>[1]code!C724</f>
        <v>0</v>
      </c>
      <c r="D727" s="2">
        <f>[1]code!D724</f>
        <v>0</v>
      </c>
      <c r="E727" s="1">
        <f>[1]code!E724</f>
        <v>0</v>
      </c>
      <c r="F727" s="2">
        <f>[1]code!F724</f>
        <v>0</v>
      </c>
      <c r="G727" s="12">
        <f>[1]code!G724</f>
        <v>0</v>
      </c>
      <c r="I727" s="10" t="str">
        <f>IFERROR(VLOOKUP($B727,[1]INV!$B$7:$H$2575,7,0),"")</f>
        <v/>
      </c>
      <c r="J727" s="10" t="s">
        <v>7</v>
      </c>
      <c r="K727" s="10" t="s">
        <v>7</v>
      </c>
      <c r="L727" s="10"/>
      <c r="M727" s="10" t="str">
        <f>IFERROR(VLOOKUP($B727,[1]INV!$B$7:$H$2575,7,0),"")</f>
        <v/>
      </c>
      <c r="N727" s="10"/>
      <c r="O727" s="10"/>
      <c r="P727" s="10"/>
      <c r="Q727" s="10"/>
      <c r="R727" s="10"/>
      <c r="S727" s="10"/>
      <c r="T727" s="10"/>
      <c r="V727" s="1" t="str">
        <f t="shared" si="42"/>
        <v/>
      </c>
      <c r="W727" s="1" t="str">
        <f t="shared" si="43"/>
        <v/>
      </c>
      <c r="X727" s="1" t="str">
        <f t="shared" si="44"/>
        <v/>
      </c>
    </row>
    <row r="728" spans="2:24" x14ac:dyDescent="0.25">
      <c r="B728" s="11">
        <f>[1]code!B725</f>
        <v>0</v>
      </c>
      <c r="C728" s="2">
        <f>[1]code!C725</f>
        <v>0</v>
      </c>
      <c r="D728" s="2">
        <f>[1]code!D725</f>
        <v>0</v>
      </c>
      <c r="E728" s="1">
        <f>[1]code!E725</f>
        <v>0</v>
      </c>
      <c r="F728" s="2">
        <f>[1]code!F725</f>
        <v>0</v>
      </c>
      <c r="G728" s="12">
        <f>[1]code!G725</f>
        <v>0</v>
      </c>
      <c r="I728" s="10" t="str">
        <f>IFERROR(VLOOKUP($B728,[1]INV!$B$7:$H$2575,7,0),"")</f>
        <v/>
      </c>
      <c r="J728" s="10" t="s">
        <v>7</v>
      </c>
      <c r="K728" s="10" t="s">
        <v>7</v>
      </c>
      <c r="L728" s="10"/>
      <c r="M728" s="10" t="str">
        <f>IFERROR(VLOOKUP($B728,[1]INV!$B$7:$H$2575,7,0),"")</f>
        <v/>
      </c>
      <c r="N728" s="10"/>
      <c r="O728" s="10"/>
      <c r="P728" s="10"/>
      <c r="Q728" s="10"/>
      <c r="R728" s="10"/>
      <c r="S728" s="10"/>
      <c r="T728" s="10"/>
      <c r="V728" s="1" t="str">
        <f t="shared" si="42"/>
        <v/>
      </c>
      <c r="W728" s="1" t="str">
        <f t="shared" si="43"/>
        <v/>
      </c>
      <c r="X728" s="1" t="str">
        <f t="shared" si="44"/>
        <v/>
      </c>
    </row>
    <row r="729" spans="2:24" x14ac:dyDescent="0.25">
      <c r="B729" s="11">
        <f>[1]code!B726</f>
        <v>0</v>
      </c>
      <c r="C729" s="2">
        <f>[1]code!C726</f>
        <v>0</v>
      </c>
      <c r="D729" s="2">
        <f>[1]code!D726</f>
        <v>0</v>
      </c>
      <c r="E729" s="1">
        <f>[1]code!E726</f>
        <v>0</v>
      </c>
      <c r="F729" s="2">
        <f>[1]code!F726</f>
        <v>0</v>
      </c>
      <c r="G729" s="12">
        <f>[1]code!G726</f>
        <v>0</v>
      </c>
      <c r="I729" s="10" t="str">
        <f>IFERROR(VLOOKUP($B729,[1]INV!$B$7:$H$2575,7,0),"")</f>
        <v/>
      </c>
      <c r="J729" s="10" t="s">
        <v>7</v>
      </c>
      <c r="K729" s="10" t="s">
        <v>7</v>
      </c>
      <c r="L729" s="10"/>
      <c r="M729" s="10" t="str">
        <f>IFERROR(VLOOKUP($B729,[1]INV!$B$7:$H$2575,7,0),"")</f>
        <v/>
      </c>
      <c r="N729" s="10"/>
      <c r="O729" s="10"/>
      <c r="P729" s="10"/>
      <c r="Q729" s="10"/>
      <c r="R729" s="10"/>
      <c r="S729" s="10"/>
      <c r="T729" s="10"/>
      <c r="V729" s="1" t="str">
        <f t="shared" si="42"/>
        <v/>
      </c>
      <c r="W729" s="1" t="str">
        <f t="shared" si="43"/>
        <v/>
      </c>
      <c r="X729" s="1" t="str">
        <f t="shared" si="44"/>
        <v/>
      </c>
    </row>
    <row r="730" spans="2:24" x14ac:dyDescent="0.25">
      <c r="B730" s="11">
        <f>[1]code!B727</f>
        <v>0</v>
      </c>
      <c r="C730" s="2">
        <f>[1]code!C727</f>
        <v>0</v>
      </c>
      <c r="D730" s="2">
        <f>[1]code!D727</f>
        <v>0</v>
      </c>
      <c r="E730" s="1">
        <f>[1]code!E727</f>
        <v>0</v>
      </c>
      <c r="F730" s="2">
        <f>[1]code!F727</f>
        <v>0</v>
      </c>
      <c r="G730" s="12">
        <f>[1]code!G727</f>
        <v>0</v>
      </c>
      <c r="I730" s="10" t="str">
        <f>IFERROR(VLOOKUP($B730,[1]INV!$B$7:$H$2575,7,0),"")</f>
        <v/>
      </c>
      <c r="J730" s="10" t="s">
        <v>7</v>
      </c>
      <c r="K730" s="10" t="s">
        <v>7</v>
      </c>
      <c r="L730" s="10"/>
      <c r="M730" s="10" t="str">
        <f>IFERROR(VLOOKUP($B730,[1]INV!$B$7:$H$2575,7,0),"")</f>
        <v/>
      </c>
      <c r="N730" s="10"/>
      <c r="O730" s="10"/>
      <c r="P730" s="10"/>
      <c r="Q730" s="10"/>
      <c r="R730" s="10"/>
      <c r="S730" s="10"/>
      <c r="T730" s="10"/>
      <c r="V730" s="1" t="str">
        <f t="shared" si="42"/>
        <v/>
      </c>
      <c r="W730" s="1" t="str">
        <f t="shared" si="43"/>
        <v/>
      </c>
      <c r="X730" s="1" t="str">
        <f t="shared" si="44"/>
        <v/>
      </c>
    </row>
    <row r="731" spans="2:24" x14ac:dyDescent="0.25">
      <c r="B731" s="11">
        <f>[1]code!B728</f>
        <v>0</v>
      </c>
      <c r="C731" s="2">
        <f>[1]code!C728</f>
        <v>0</v>
      </c>
      <c r="D731" s="2">
        <f>[1]code!D728</f>
        <v>0</v>
      </c>
      <c r="E731" s="1">
        <f>[1]code!E728</f>
        <v>0</v>
      </c>
      <c r="F731" s="2">
        <f>[1]code!F728</f>
        <v>0</v>
      </c>
      <c r="G731" s="12">
        <f>[1]code!G728</f>
        <v>0</v>
      </c>
      <c r="I731" s="10" t="str">
        <f>IFERROR(VLOOKUP($B731,[1]INV!$B$7:$H$2575,7,0),"")</f>
        <v/>
      </c>
      <c r="J731" s="10" t="s">
        <v>7</v>
      </c>
      <c r="K731" s="10" t="s">
        <v>7</v>
      </c>
      <c r="L731" s="10"/>
      <c r="M731" s="10" t="str">
        <f>IFERROR(VLOOKUP($B731,[1]INV!$B$7:$H$2575,7,0),"")</f>
        <v/>
      </c>
      <c r="N731" s="10"/>
      <c r="O731" s="10"/>
      <c r="P731" s="10"/>
      <c r="Q731" s="10"/>
      <c r="R731" s="10"/>
      <c r="S731" s="10"/>
      <c r="T731" s="10"/>
      <c r="V731" s="1" t="str">
        <f t="shared" si="42"/>
        <v/>
      </c>
      <c r="W731" s="1" t="str">
        <f t="shared" si="43"/>
        <v/>
      </c>
      <c r="X731" s="1" t="str">
        <f t="shared" si="44"/>
        <v/>
      </c>
    </row>
    <row r="732" spans="2:24" x14ac:dyDescent="0.25">
      <c r="B732" s="11">
        <f>[1]code!B729</f>
        <v>0</v>
      </c>
      <c r="C732" s="2">
        <f>[1]code!C729</f>
        <v>0</v>
      </c>
      <c r="D732" s="2">
        <f>[1]code!D729</f>
        <v>0</v>
      </c>
      <c r="E732" s="1">
        <f>[1]code!E729</f>
        <v>0</v>
      </c>
      <c r="F732" s="2">
        <f>[1]code!F729</f>
        <v>0</v>
      </c>
      <c r="G732" s="12">
        <f>[1]code!G729</f>
        <v>0</v>
      </c>
      <c r="I732" s="10" t="str">
        <f>IFERROR(VLOOKUP($B732,[1]INV!$B$7:$H$2575,7,0),"")</f>
        <v/>
      </c>
      <c r="J732" s="10" t="s">
        <v>7</v>
      </c>
      <c r="K732" s="10" t="s">
        <v>7</v>
      </c>
      <c r="L732" s="10"/>
      <c r="M732" s="10" t="str">
        <f>IFERROR(VLOOKUP($B732,[1]INV!$B$7:$H$2575,7,0),"")</f>
        <v/>
      </c>
      <c r="N732" s="10"/>
      <c r="O732" s="10"/>
      <c r="P732" s="10"/>
      <c r="Q732" s="10"/>
      <c r="R732" s="10"/>
      <c r="S732" s="10"/>
      <c r="T732" s="10"/>
      <c r="V732" s="1" t="str">
        <f t="shared" si="42"/>
        <v/>
      </c>
      <c r="W732" s="1" t="str">
        <f t="shared" si="43"/>
        <v/>
      </c>
      <c r="X732" s="1" t="str">
        <f t="shared" si="44"/>
        <v/>
      </c>
    </row>
    <row r="733" spans="2:24" x14ac:dyDescent="0.25">
      <c r="B733" s="11">
        <f>[1]code!B730</f>
        <v>0</v>
      </c>
      <c r="C733" s="2">
        <f>[1]code!C730</f>
        <v>0</v>
      </c>
      <c r="D733" s="2">
        <f>[1]code!D730</f>
        <v>0</v>
      </c>
      <c r="E733" s="1">
        <f>[1]code!E730</f>
        <v>0</v>
      </c>
      <c r="F733" s="2">
        <f>[1]code!F730</f>
        <v>0</v>
      </c>
      <c r="G733" s="12">
        <f>[1]code!G730</f>
        <v>0</v>
      </c>
      <c r="I733" s="10" t="str">
        <f>IFERROR(VLOOKUP($B733,[1]INV!$B$7:$H$2575,7,0),"")</f>
        <v/>
      </c>
      <c r="J733" s="10" t="s">
        <v>7</v>
      </c>
      <c r="K733" s="10" t="s">
        <v>7</v>
      </c>
      <c r="L733" s="10"/>
      <c r="M733" s="10" t="str">
        <f>IFERROR(VLOOKUP($B733,[1]INV!$B$7:$H$2575,7,0),"")</f>
        <v/>
      </c>
      <c r="N733" s="10"/>
      <c r="O733" s="10"/>
      <c r="P733" s="10"/>
      <c r="Q733" s="10"/>
      <c r="R733" s="10"/>
      <c r="S733" s="10"/>
      <c r="T733" s="10"/>
      <c r="V733" s="1" t="str">
        <f t="shared" si="42"/>
        <v/>
      </c>
      <c r="W733" s="1" t="str">
        <f t="shared" si="43"/>
        <v/>
      </c>
      <c r="X733" s="1" t="str">
        <f t="shared" si="44"/>
        <v/>
      </c>
    </row>
    <row r="734" spans="2:24" x14ac:dyDescent="0.25">
      <c r="B734" s="11">
        <f>[1]code!B731</f>
        <v>0</v>
      </c>
      <c r="C734" s="2">
        <f>[1]code!C731</f>
        <v>0</v>
      </c>
      <c r="D734" s="2">
        <f>[1]code!D731</f>
        <v>0</v>
      </c>
      <c r="E734" s="1">
        <f>[1]code!E731</f>
        <v>0</v>
      </c>
      <c r="F734" s="2">
        <f>[1]code!F731</f>
        <v>0</v>
      </c>
      <c r="G734" s="12">
        <f>[1]code!G731</f>
        <v>0</v>
      </c>
      <c r="I734" s="10" t="str">
        <f>IFERROR(VLOOKUP($B734,[1]INV!$B$7:$H$2575,7,0),"")</f>
        <v/>
      </c>
      <c r="J734" s="10" t="s">
        <v>7</v>
      </c>
      <c r="K734" s="10" t="s">
        <v>7</v>
      </c>
      <c r="L734" s="10"/>
      <c r="M734" s="10" t="str">
        <f>IFERROR(VLOOKUP($B734,[1]INV!$B$7:$H$2575,7,0),"")</f>
        <v/>
      </c>
      <c r="N734" s="10"/>
      <c r="O734" s="10"/>
      <c r="P734" s="10"/>
      <c r="Q734" s="10"/>
      <c r="R734" s="10"/>
      <c r="S734" s="10"/>
      <c r="T734" s="10"/>
      <c r="V734" s="1" t="str">
        <f t="shared" si="42"/>
        <v/>
      </c>
      <c r="W734" s="1" t="str">
        <f t="shared" si="43"/>
        <v/>
      </c>
      <c r="X734" s="1" t="str">
        <f t="shared" si="44"/>
        <v/>
      </c>
    </row>
    <row r="735" spans="2:24" x14ac:dyDescent="0.25">
      <c r="B735" s="11">
        <f>[1]code!B732</f>
        <v>0</v>
      </c>
      <c r="C735" s="2">
        <f>[1]code!C732</f>
        <v>0</v>
      </c>
      <c r="D735" s="2">
        <f>[1]code!D732</f>
        <v>0</v>
      </c>
      <c r="E735" s="1">
        <f>[1]code!E732</f>
        <v>0</v>
      </c>
      <c r="F735" s="2">
        <f>[1]code!F732</f>
        <v>0</v>
      </c>
      <c r="G735" s="12">
        <f>[1]code!G732</f>
        <v>0</v>
      </c>
      <c r="I735" s="10" t="str">
        <f>IFERROR(VLOOKUP($B735,[1]INV!$B$7:$H$2575,7,0),"")</f>
        <v/>
      </c>
      <c r="J735" s="10" t="s">
        <v>7</v>
      </c>
      <c r="K735" s="10" t="s">
        <v>7</v>
      </c>
      <c r="L735" s="10"/>
      <c r="M735" s="10" t="str">
        <f>IFERROR(VLOOKUP($B735,[1]INV!$B$7:$H$2575,7,0),"")</f>
        <v/>
      </c>
      <c r="N735" s="10"/>
      <c r="O735" s="10"/>
      <c r="P735" s="10"/>
      <c r="Q735" s="10"/>
      <c r="R735" s="10"/>
      <c r="S735" s="10"/>
      <c r="T735" s="10"/>
      <c r="V735" s="1" t="str">
        <f t="shared" si="42"/>
        <v/>
      </c>
      <c r="W735" s="1" t="str">
        <f t="shared" si="43"/>
        <v/>
      </c>
      <c r="X735" s="1" t="str">
        <f t="shared" si="44"/>
        <v/>
      </c>
    </row>
    <row r="736" spans="2:24" x14ac:dyDescent="0.25">
      <c r="B736" s="11">
        <f>[1]code!B733</f>
        <v>0</v>
      </c>
      <c r="C736" s="2">
        <f>[1]code!C733</f>
        <v>0</v>
      </c>
      <c r="D736" s="2">
        <f>[1]code!D733</f>
        <v>0</v>
      </c>
      <c r="E736" s="1">
        <f>[1]code!E733</f>
        <v>0</v>
      </c>
      <c r="F736" s="2">
        <f>[1]code!F733</f>
        <v>0</v>
      </c>
      <c r="G736" s="12">
        <f>[1]code!G733</f>
        <v>0</v>
      </c>
      <c r="I736" s="10" t="str">
        <f>IFERROR(VLOOKUP($B736,[1]INV!$B$7:$H$2575,7,0),"")</f>
        <v/>
      </c>
      <c r="J736" s="10" t="s">
        <v>7</v>
      </c>
      <c r="K736" s="10" t="s">
        <v>7</v>
      </c>
      <c r="L736" s="10"/>
      <c r="M736" s="10" t="str">
        <f>IFERROR(VLOOKUP($B736,[1]INV!$B$7:$H$2575,7,0),"")</f>
        <v/>
      </c>
      <c r="N736" s="10"/>
      <c r="O736" s="10"/>
      <c r="P736" s="10"/>
      <c r="Q736" s="10"/>
      <c r="R736" s="10"/>
      <c r="S736" s="10"/>
      <c r="T736" s="10"/>
      <c r="V736" s="1" t="str">
        <f t="shared" si="42"/>
        <v/>
      </c>
      <c r="W736" s="1" t="str">
        <f t="shared" si="43"/>
        <v/>
      </c>
      <c r="X736" s="1" t="str">
        <f t="shared" si="44"/>
        <v/>
      </c>
    </row>
    <row r="737" spans="2:24" x14ac:dyDescent="0.25">
      <c r="B737" s="11">
        <f>[1]code!B734</f>
        <v>0</v>
      </c>
      <c r="C737" s="2">
        <f>[1]code!C734</f>
        <v>0</v>
      </c>
      <c r="D737" s="2">
        <f>[1]code!D734</f>
        <v>0</v>
      </c>
      <c r="E737" s="1">
        <f>[1]code!E734</f>
        <v>0</v>
      </c>
      <c r="F737" s="2">
        <f>[1]code!F734</f>
        <v>0</v>
      </c>
      <c r="G737" s="12">
        <f>[1]code!G734</f>
        <v>0</v>
      </c>
      <c r="I737" s="10" t="str">
        <f>IFERROR(VLOOKUP($B737,[1]INV!$B$7:$H$2575,7,0),"")</f>
        <v/>
      </c>
      <c r="J737" s="10" t="s">
        <v>7</v>
      </c>
      <c r="K737" s="10" t="s">
        <v>7</v>
      </c>
      <c r="L737" s="10"/>
      <c r="M737" s="10" t="str">
        <f>IFERROR(VLOOKUP($B737,[1]INV!$B$7:$H$2575,7,0),"")</f>
        <v/>
      </c>
      <c r="N737" s="10"/>
      <c r="O737" s="10"/>
      <c r="P737" s="10"/>
      <c r="Q737" s="10"/>
      <c r="R737" s="10"/>
      <c r="S737" s="10"/>
      <c r="T737" s="10"/>
      <c r="V737" s="1" t="str">
        <f t="shared" si="42"/>
        <v/>
      </c>
      <c r="W737" s="1" t="str">
        <f t="shared" si="43"/>
        <v/>
      </c>
      <c r="X737" s="1" t="str">
        <f t="shared" si="44"/>
        <v/>
      </c>
    </row>
    <row r="738" spans="2:24" x14ac:dyDescent="0.25">
      <c r="B738" s="11">
        <f>[1]code!B735</f>
        <v>0</v>
      </c>
      <c r="C738" s="2">
        <f>[1]code!C735</f>
        <v>0</v>
      </c>
      <c r="D738" s="2">
        <f>[1]code!D735</f>
        <v>0</v>
      </c>
      <c r="E738" s="1">
        <f>[1]code!E735</f>
        <v>0</v>
      </c>
      <c r="F738" s="2">
        <f>[1]code!F735</f>
        <v>0</v>
      </c>
      <c r="G738" s="12">
        <f>[1]code!G735</f>
        <v>0</v>
      </c>
      <c r="I738" s="10" t="str">
        <f>IFERROR(VLOOKUP($B738,[1]INV!$B$7:$H$2575,7,0),"")</f>
        <v/>
      </c>
      <c r="J738" s="10" t="s">
        <v>7</v>
      </c>
      <c r="K738" s="10" t="s">
        <v>7</v>
      </c>
      <c r="L738" s="10"/>
      <c r="M738" s="10" t="str">
        <f>IFERROR(VLOOKUP($B738,[1]INV!$B$7:$H$2575,7,0),"")</f>
        <v/>
      </c>
      <c r="N738" s="10"/>
      <c r="O738" s="10"/>
      <c r="P738" s="10"/>
      <c r="Q738" s="10"/>
      <c r="R738" s="10"/>
      <c r="S738" s="10"/>
      <c r="T738" s="10"/>
      <c r="V738" s="1" t="str">
        <f t="shared" si="42"/>
        <v/>
      </c>
      <c r="W738" s="1" t="str">
        <f t="shared" si="43"/>
        <v/>
      </c>
      <c r="X738" s="1" t="str">
        <f t="shared" si="44"/>
        <v/>
      </c>
    </row>
    <row r="739" spans="2:24" x14ac:dyDescent="0.25">
      <c r="B739" s="11">
        <f>[1]code!B736</f>
        <v>0</v>
      </c>
      <c r="C739" s="2">
        <f>[1]code!C736</f>
        <v>0</v>
      </c>
      <c r="D739" s="2">
        <f>[1]code!D736</f>
        <v>0</v>
      </c>
      <c r="E739" s="1">
        <f>[1]code!E736</f>
        <v>0</v>
      </c>
      <c r="F739" s="2">
        <f>[1]code!F736</f>
        <v>0</v>
      </c>
      <c r="G739" s="12">
        <f>[1]code!G736</f>
        <v>0</v>
      </c>
      <c r="I739" s="10" t="str">
        <f>IFERROR(VLOOKUP($B739,[1]INV!$B$7:$H$2575,7,0),"")</f>
        <v/>
      </c>
      <c r="J739" s="10" t="s">
        <v>7</v>
      </c>
      <c r="K739" s="10" t="s">
        <v>7</v>
      </c>
      <c r="L739" s="10"/>
      <c r="M739" s="10" t="str">
        <f>IFERROR(VLOOKUP($B739,[1]INV!$B$7:$H$2575,7,0),"")</f>
        <v/>
      </c>
      <c r="N739" s="10"/>
      <c r="O739" s="10"/>
      <c r="P739" s="10"/>
      <c r="Q739" s="10"/>
      <c r="R739" s="10"/>
      <c r="S739" s="10"/>
      <c r="T739" s="10"/>
      <c r="V739" s="1" t="str">
        <f t="shared" si="42"/>
        <v/>
      </c>
      <c r="W739" s="1" t="str">
        <f t="shared" si="43"/>
        <v/>
      </c>
      <c r="X739" s="1" t="str">
        <f t="shared" si="44"/>
        <v/>
      </c>
    </row>
    <row r="740" spans="2:24" x14ac:dyDescent="0.25">
      <c r="B740" s="11">
        <f>[1]code!B737</f>
        <v>0</v>
      </c>
      <c r="C740" s="2">
        <f>[1]code!C737</f>
        <v>0</v>
      </c>
      <c r="D740" s="2">
        <f>[1]code!D737</f>
        <v>0</v>
      </c>
      <c r="E740" s="1">
        <f>[1]code!E737</f>
        <v>0</v>
      </c>
      <c r="F740" s="2">
        <f>[1]code!F737</f>
        <v>0</v>
      </c>
      <c r="G740" s="12">
        <f>[1]code!G737</f>
        <v>0</v>
      </c>
      <c r="I740" s="10" t="str">
        <f>IFERROR(VLOOKUP($B740,[1]INV!$B$7:$H$2575,7,0),"")</f>
        <v/>
      </c>
      <c r="J740" s="10" t="s">
        <v>7</v>
      </c>
      <c r="K740" s="10" t="s">
        <v>7</v>
      </c>
      <c r="L740" s="10"/>
      <c r="M740" s="10" t="str">
        <f>IFERROR(VLOOKUP($B740,[1]INV!$B$7:$H$2575,7,0),"")</f>
        <v/>
      </c>
      <c r="N740" s="10"/>
      <c r="O740" s="10"/>
      <c r="P740" s="10"/>
      <c r="Q740" s="10"/>
      <c r="R740" s="10"/>
      <c r="S740" s="10"/>
      <c r="T740" s="10"/>
      <c r="V740" s="1" t="str">
        <f t="shared" si="42"/>
        <v/>
      </c>
      <c r="W740" s="1" t="str">
        <f t="shared" si="43"/>
        <v/>
      </c>
      <c r="X740" s="1" t="str">
        <f t="shared" si="44"/>
        <v/>
      </c>
    </row>
    <row r="741" spans="2:24" x14ac:dyDescent="0.25">
      <c r="B741" s="11">
        <f>[1]code!B738</f>
        <v>0</v>
      </c>
      <c r="C741" s="2">
        <f>[1]code!C738</f>
        <v>0</v>
      </c>
      <c r="D741" s="2">
        <f>[1]code!D738</f>
        <v>0</v>
      </c>
      <c r="E741" s="1">
        <f>[1]code!E738</f>
        <v>0</v>
      </c>
      <c r="F741" s="2">
        <f>[1]code!F738</f>
        <v>0</v>
      </c>
      <c r="G741" s="12">
        <f>[1]code!G738</f>
        <v>0</v>
      </c>
      <c r="I741" s="10" t="str">
        <f>IFERROR(VLOOKUP($B741,[1]INV!$B$7:$H$2575,7,0),"")</f>
        <v/>
      </c>
      <c r="J741" s="10" t="s">
        <v>7</v>
      </c>
      <c r="K741" s="10" t="s">
        <v>7</v>
      </c>
      <c r="L741" s="10"/>
      <c r="M741" s="10" t="str">
        <f>IFERROR(VLOOKUP($B741,[1]INV!$B$7:$H$2575,7,0),"")</f>
        <v/>
      </c>
      <c r="N741" s="10"/>
      <c r="O741" s="10"/>
      <c r="P741" s="10"/>
      <c r="Q741" s="10"/>
      <c r="R741" s="10"/>
      <c r="S741" s="10"/>
      <c r="T741" s="10"/>
      <c r="V741" s="1" t="str">
        <f t="shared" si="42"/>
        <v/>
      </c>
      <c r="W741" s="1" t="str">
        <f t="shared" si="43"/>
        <v/>
      </c>
      <c r="X741" s="1" t="str">
        <f t="shared" si="44"/>
        <v/>
      </c>
    </row>
    <row r="742" spans="2:24" x14ac:dyDescent="0.25">
      <c r="B742" s="11">
        <f>[1]code!B739</f>
        <v>0</v>
      </c>
      <c r="C742" s="2">
        <f>[1]code!C739</f>
        <v>0</v>
      </c>
      <c r="D742" s="2">
        <f>[1]code!D739</f>
        <v>0</v>
      </c>
      <c r="E742" s="1">
        <f>[1]code!E739</f>
        <v>0</v>
      </c>
      <c r="F742" s="2">
        <f>[1]code!F739</f>
        <v>0</v>
      </c>
      <c r="G742" s="12">
        <f>[1]code!G739</f>
        <v>0</v>
      </c>
      <c r="I742" s="10" t="str">
        <f>IFERROR(VLOOKUP($B742,[1]INV!$B$7:$H$2575,7,0),"")</f>
        <v/>
      </c>
      <c r="J742" s="10" t="s">
        <v>7</v>
      </c>
      <c r="K742" s="10" t="s">
        <v>7</v>
      </c>
      <c r="L742" s="10"/>
      <c r="M742" s="10" t="str">
        <f>IFERROR(VLOOKUP($B742,[1]INV!$B$7:$H$2575,7,0),"")</f>
        <v/>
      </c>
      <c r="N742" s="10"/>
      <c r="O742" s="10"/>
      <c r="P742" s="10"/>
      <c r="Q742" s="10"/>
      <c r="R742" s="10"/>
      <c r="S742" s="10"/>
      <c r="T742" s="10"/>
      <c r="V742" s="1" t="str">
        <f t="shared" si="42"/>
        <v/>
      </c>
      <c r="W742" s="1" t="str">
        <f t="shared" si="43"/>
        <v/>
      </c>
      <c r="X742" s="1" t="str">
        <f t="shared" si="44"/>
        <v/>
      </c>
    </row>
    <row r="743" spans="2:24" x14ac:dyDescent="0.25">
      <c r="B743" s="11">
        <f>[1]code!B740</f>
        <v>0</v>
      </c>
      <c r="C743" s="2">
        <f>[1]code!C740</f>
        <v>0</v>
      </c>
      <c r="D743" s="2">
        <f>[1]code!D740</f>
        <v>0</v>
      </c>
      <c r="E743" s="1">
        <f>[1]code!E740</f>
        <v>0</v>
      </c>
      <c r="F743" s="2">
        <f>[1]code!F740</f>
        <v>0</v>
      </c>
      <c r="G743" s="12">
        <f>[1]code!G740</f>
        <v>0</v>
      </c>
      <c r="I743" s="10" t="str">
        <f>IFERROR(VLOOKUP($B743,[1]INV!$B$7:$H$2575,7,0),"")</f>
        <v/>
      </c>
      <c r="J743" s="10" t="s">
        <v>7</v>
      </c>
      <c r="K743" s="10" t="s">
        <v>7</v>
      </c>
      <c r="L743" s="10"/>
      <c r="M743" s="10" t="str">
        <f>IFERROR(VLOOKUP($B743,[1]INV!$B$7:$H$2575,7,0),"")</f>
        <v/>
      </c>
      <c r="N743" s="10"/>
      <c r="O743" s="10"/>
      <c r="P743" s="10"/>
      <c r="Q743" s="10"/>
      <c r="R743" s="10"/>
      <c r="S743" s="10"/>
      <c r="T743" s="10"/>
      <c r="V743" s="1" t="str">
        <f t="shared" si="42"/>
        <v/>
      </c>
      <c r="W743" s="1" t="str">
        <f t="shared" si="43"/>
        <v/>
      </c>
      <c r="X743" s="1" t="str">
        <f t="shared" si="44"/>
        <v/>
      </c>
    </row>
    <row r="744" spans="2:24" x14ac:dyDescent="0.25">
      <c r="B744" s="11">
        <f>[1]code!B741</f>
        <v>0</v>
      </c>
      <c r="C744" s="2">
        <f>[1]code!C741</f>
        <v>0</v>
      </c>
      <c r="D744" s="2">
        <f>[1]code!D741</f>
        <v>0</v>
      </c>
      <c r="E744" s="1">
        <f>[1]code!E741</f>
        <v>0</v>
      </c>
      <c r="F744" s="2">
        <f>[1]code!F741</f>
        <v>0</v>
      </c>
      <c r="G744" s="12">
        <f>[1]code!G741</f>
        <v>0</v>
      </c>
      <c r="I744" s="10" t="str">
        <f>IFERROR(VLOOKUP($B744,[1]INV!$B$7:$H$2575,7,0),"")</f>
        <v/>
      </c>
      <c r="J744" s="10" t="s">
        <v>7</v>
      </c>
      <c r="K744" s="10" t="s">
        <v>7</v>
      </c>
      <c r="L744" s="10"/>
      <c r="M744" s="10" t="str">
        <f>IFERROR(VLOOKUP($B744,[1]INV!$B$7:$H$2575,7,0),"")</f>
        <v/>
      </c>
      <c r="N744" s="10"/>
      <c r="O744" s="10"/>
      <c r="P744" s="10"/>
      <c r="Q744" s="10"/>
      <c r="R744" s="10"/>
      <c r="S744" s="10"/>
      <c r="T744" s="10"/>
      <c r="V744" s="1" t="str">
        <f t="shared" si="42"/>
        <v/>
      </c>
      <c r="W744" s="1" t="str">
        <f t="shared" si="43"/>
        <v/>
      </c>
      <c r="X744" s="1" t="str">
        <f t="shared" si="44"/>
        <v/>
      </c>
    </row>
    <row r="745" spans="2:24" x14ac:dyDescent="0.25">
      <c r="B745" s="11">
        <f>[1]code!B742</f>
        <v>0</v>
      </c>
      <c r="C745" s="2">
        <f>[1]code!C742</f>
        <v>0</v>
      </c>
      <c r="D745" s="2">
        <f>[1]code!D742</f>
        <v>0</v>
      </c>
      <c r="E745" s="1">
        <f>[1]code!E742</f>
        <v>0</v>
      </c>
      <c r="F745" s="2">
        <f>[1]code!F742</f>
        <v>0</v>
      </c>
      <c r="G745" s="12">
        <f>[1]code!G742</f>
        <v>0</v>
      </c>
      <c r="I745" s="10" t="str">
        <f>IFERROR(VLOOKUP($B745,[1]INV!$B$7:$H$2575,7,0),"")</f>
        <v/>
      </c>
      <c r="J745" s="10" t="s">
        <v>7</v>
      </c>
      <c r="K745" s="10" t="s">
        <v>7</v>
      </c>
      <c r="L745" s="10"/>
      <c r="M745" s="10" t="str">
        <f>IFERROR(VLOOKUP($B745,[1]INV!$B$7:$H$2575,7,0),"")</f>
        <v/>
      </c>
      <c r="N745" s="10"/>
      <c r="O745" s="10"/>
      <c r="P745" s="10"/>
      <c r="Q745" s="10"/>
      <c r="R745" s="10"/>
      <c r="S745" s="10"/>
      <c r="T745" s="10"/>
      <c r="V745" s="1" t="str">
        <f t="shared" si="42"/>
        <v/>
      </c>
      <c r="W745" s="1" t="str">
        <f t="shared" si="43"/>
        <v/>
      </c>
      <c r="X745" s="1" t="str">
        <f t="shared" si="44"/>
        <v/>
      </c>
    </row>
    <row r="746" spans="2:24" x14ac:dyDescent="0.25">
      <c r="B746" s="11">
        <f>[1]code!B743</f>
        <v>0</v>
      </c>
      <c r="C746" s="2">
        <f>[1]code!C743</f>
        <v>0</v>
      </c>
      <c r="D746" s="2">
        <f>[1]code!D743</f>
        <v>0</v>
      </c>
      <c r="E746" s="1">
        <f>[1]code!E743</f>
        <v>0</v>
      </c>
      <c r="F746" s="2">
        <f>[1]code!F743</f>
        <v>0</v>
      </c>
      <c r="G746" s="12">
        <f>[1]code!G743</f>
        <v>0</v>
      </c>
      <c r="I746" s="10" t="str">
        <f>IFERROR(VLOOKUP($B746,[1]INV!$B$7:$H$2575,7,0),"")</f>
        <v/>
      </c>
      <c r="J746" s="10" t="s">
        <v>7</v>
      </c>
      <c r="K746" s="10" t="s">
        <v>7</v>
      </c>
      <c r="L746" s="10"/>
      <c r="M746" s="10" t="str">
        <f>IFERROR(VLOOKUP($B746,[1]INV!$B$7:$H$2575,7,0),"")</f>
        <v/>
      </c>
      <c r="N746" s="10"/>
      <c r="O746" s="10"/>
      <c r="P746" s="10"/>
      <c r="Q746" s="10"/>
      <c r="R746" s="10"/>
      <c r="S746" s="10"/>
      <c r="T746" s="10"/>
      <c r="V746" s="1" t="str">
        <f t="shared" si="42"/>
        <v/>
      </c>
      <c r="W746" s="1" t="str">
        <f t="shared" si="43"/>
        <v/>
      </c>
      <c r="X746" s="1" t="str">
        <f t="shared" si="44"/>
        <v/>
      </c>
    </row>
    <row r="747" spans="2:24" x14ac:dyDescent="0.25">
      <c r="B747" s="11">
        <f>[1]code!B744</f>
        <v>0</v>
      </c>
      <c r="C747" s="2">
        <f>[1]code!C744</f>
        <v>0</v>
      </c>
      <c r="D747" s="2">
        <f>[1]code!D744</f>
        <v>0</v>
      </c>
      <c r="E747" s="1">
        <f>[1]code!E744</f>
        <v>0</v>
      </c>
      <c r="F747" s="2">
        <f>[1]code!F744</f>
        <v>0</v>
      </c>
      <c r="G747" s="12">
        <f>[1]code!G744</f>
        <v>0</v>
      </c>
      <c r="I747" s="10" t="str">
        <f>IFERROR(VLOOKUP($B747,[1]INV!$B$7:$H$2575,7,0),"")</f>
        <v/>
      </c>
      <c r="J747" s="10" t="s">
        <v>7</v>
      </c>
      <c r="K747" s="10" t="s">
        <v>7</v>
      </c>
      <c r="L747" s="10"/>
      <c r="M747" s="10" t="str">
        <f>IFERROR(VLOOKUP($B747,[1]INV!$B$7:$H$2575,7,0),"")</f>
        <v/>
      </c>
      <c r="N747" s="10"/>
      <c r="O747" s="10"/>
      <c r="P747" s="10"/>
      <c r="Q747" s="10"/>
      <c r="R747" s="10"/>
      <c r="S747" s="10"/>
      <c r="T747" s="10"/>
      <c r="V747" s="1" t="str">
        <f t="shared" si="42"/>
        <v/>
      </c>
      <c r="W747" s="1" t="str">
        <f t="shared" si="43"/>
        <v/>
      </c>
      <c r="X747" s="1" t="str">
        <f t="shared" si="44"/>
        <v/>
      </c>
    </row>
    <row r="748" spans="2:24" x14ac:dyDescent="0.25">
      <c r="B748" s="11">
        <f>[1]code!B745</f>
        <v>0</v>
      </c>
      <c r="C748" s="2">
        <f>[1]code!C745</f>
        <v>0</v>
      </c>
      <c r="D748" s="2">
        <f>[1]code!D745</f>
        <v>0</v>
      </c>
      <c r="E748" s="1">
        <f>[1]code!E745</f>
        <v>0</v>
      </c>
      <c r="F748" s="2">
        <f>[1]code!F745</f>
        <v>0</v>
      </c>
      <c r="G748" s="12">
        <f>[1]code!G745</f>
        <v>0</v>
      </c>
      <c r="I748" s="10" t="str">
        <f>IFERROR(VLOOKUP($B748,[1]INV!$B$7:$H$2575,7,0),"")</f>
        <v/>
      </c>
      <c r="J748" s="10" t="s">
        <v>7</v>
      </c>
      <c r="K748" s="10" t="s">
        <v>7</v>
      </c>
      <c r="L748" s="10"/>
      <c r="M748" s="10" t="str">
        <f>IFERROR(VLOOKUP($B748,[1]INV!$B$7:$H$2575,7,0),"")</f>
        <v/>
      </c>
      <c r="N748" s="10"/>
      <c r="O748" s="10"/>
      <c r="P748" s="10"/>
      <c r="Q748" s="10"/>
      <c r="R748" s="10"/>
      <c r="S748" s="10"/>
      <c r="T748" s="10"/>
      <c r="V748" s="1" t="str">
        <f t="shared" si="42"/>
        <v/>
      </c>
      <c r="W748" s="1" t="str">
        <f t="shared" si="43"/>
        <v/>
      </c>
      <c r="X748" s="1" t="str">
        <f t="shared" si="44"/>
        <v/>
      </c>
    </row>
    <row r="749" spans="2:24" x14ac:dyDescent="0.25">
      <c r="B749" s="11">
        <f>[1]code!B746</f>
        <v>0</v>
      </c>
      <c r="C749" s="2">
        <f>[1]code!C746</f>
        <v>0</v>
      </c>
      <c r="D749" s="2">
        <f>[1]code!D746</f>
        <v>0</v>
      </c>
      <c r="E749" s="1">
        <f>[1]code!E746</f>
        <v>0</v>
      </c>
      <c r="F749" s="2">
        <f>[1]code!F746</f>
        <v>0</v>
      </c>
      <c r="G749" s="12">
        <f>[1]code!G746</f>
        <v>0</v>
      </c>
      <c r="I749" s="10" t="str">
        <f>IFERROR(VLOOKUP($B749,[1]INV!$B$7:$H$2575,7,0),"")</f>
        <v/>
      </c>
      <c r="J749" s="10" t="s">
        <v>7</v>
      </c>
      <c r="K749" s="10" t="s">
        <v>7</v>
      </c>
      <c r="L749" s="10"/>
      <c r="M749" s="10" t="str">
        <f>IFERROR(VLOOKUP($B749,[1]INV!$B$7:$H$2575,7,0),"")</f>
        <v/>
      </c>
      <c r="N749" s="10"/>
      <c r="O749" s="10"/>
      <c r="P749" s="10"/>
      <c r="Q749" s="10"/>
      <c r="R749" s="10"/>
      <c r="S749" s="10"/>
      <c r="T749" s="10"/>
      <c r="V749" s="1" t="str">
        <f t="shared" si="42"/>
        <v/>
      </c>
      <c r="W749" s="1" t="str">
        <f t="shared" si="43"/>
        <v/>
      </c>
      <c r="X749" s="1" t="str">
        <f t="shared" si="44"/>
        <v/>
      </c>
    </row>
    <row r="750" spans="2:24" x14ac:dyDescent="0.25">
      <c r="B750" s="11">
        <f>[1]code!B747</f>
        <v>0</v>
      </c>
      <c r="C750" s="2">
        <f>[1]code!C747</f>
        <v>0</v>
      </c>
      <c r="D750" s="2">
        <f>[1]code!D747</f>
        <v>0</v>
      </c>
      <c r="E750" s="1">
        <f>[1]code!E747</f>
        <v>0</v>
      </c>
      <c r="F750" s="2">
        <f>[1]code!F747</f>
        <v>0</v>
      </c>
      <c r="G750" s="12">
        <f>[1]code!G747</f>
        <v>0</v>
      </c>
      <c r="I750" s="10" t="str">
        <f>IFERROR(VLOOKUP($B750,[1]INV!$B$7:$H$2575,7,0),"")</f>
        <v/>
      </c>
      <c r="J750" s="10" t="s">
        <v>7</v>
      </c>
      <c r="K750" s="10" t="s">
        <v>7</v>
      </c>
      <c r="L750" s="10"/>
      <c r="M750" s="10" t="str">
        <f>IFERROR(VLOOKUP($B750,[1]INV!$B$7:$H$2575,7,0),"")</f>
        <v/>
      </c>
      <c r="N750" s="10"/>
      <c r="O750" s="10"/>
      <c r="P750" s="10"/>
      <c r="Q750" s="10"/>
      <c r="R750" s="10"/>
      <c r="S750" s="10"/>
      <c r="T750" s="10"/>
      <c r="V750" s="1" t="str">
        <f t="shared" si="42"/>
        <v/>
      </c>
      <c r="W750" s="1" t="str">
        <f t="shared" si="43"/>
        <v/>
      </c>
      <c r="X750" s="1" t="str">
        <f t="shared" si="44"/>
        <v/>
      </c>
    </row>
    <row r="751" spans="2:24" x14ac:dyDescent="0.25">
      <c r="B751" s="11">
        <f>[1]code!B748</f>
        <v>0</v>
      </c>
      <c r="C751" s="2">
        <f>[1]code!C748</f>
        <v>0</v>
      </c>
      <c r="D751" s="2">
        <f>[1]code!D748</f>
        <v>0</v>
      </c>
      <c r="E751" s="1">
        <f>[1]code!E748</f>
        <v>0</v>
      </c>
      <c r="F751" s="2">
        <f>[1]code!F748</f>
        <v>0</v>
      </c>
      <c r="G751" s="12">
        <f>[1]code!G748</f>
        <v>0</v>
      </c>
      <c r="I751" s="10" t="str">
        <f>IFERROR(VLOOKUP($B751,[1]INV!$B$7:$H$2575,7,0),"")</f>
        <v/>
      </c>
      <c r="J751" s="10" t="s">
        <v>7</v>
      </c>
      <c r="K751" s="10" t="s">
        <v>7</v>
      </c>
      <c r="L751" s="10"/>
      <c r="M751" s="10" t="str">
        <f>IFERROR(VLOOKUP($B751,[1]INV!$B$7:$H$2575,7,0),"")</f>
        <v/>
      </c>
      <c r="N751" s="10"/>
      <c r="O751" s="10"/>
      <c r="P751" s="10"/>
      <c r="Q751" s="10"/>
      <c r="R751" s="10"/>
      <c r="S751" s="10"/>
      <c r="T751" s="10"/>
      <c r="V751" s="1" t="str">
        <f t="shared" si="42"/>
        <v/>
      </c>
      <c r="W751" s="1" t="str">
        <f t="shared" si="43"/>
        <v/>
      </c>
      <c r="X751" s="1" t="str">
        <f t="shared" si="44"/>
        <v/>
      </c>
    </row>
    <row r="752" spans="2:24" x14ac:dyDescent="0.25">
      <c r="B752" s="11">
        <f>[1]code!B749</f>
        <v>0</v>
      </c>
      <c r="C752" s="2">
        <f>[1]code!C749</f>
        <v>0</v>
      </c>
      <c r="D752" s="2">
        <f>[1]code!D749</f>
        <v>0</v>
      </c>
      <c r="E752" s="1">
        <f>[1]code!E749</f>
        <v>0</v>
      </c>
      <c r="F752" s="2">
        <f>[1]code!F749</f>
        <v>0</v>
      </c>
      <c r="G752" s="12">
        <f>[1]code!G749</f>
        <v>0</v>
      </c>
      <c r="I752" s="10" t="str">
        <f>IFERROR(VLOOKUP($B752,[1]INV!$B$7:$H$2575,7,0),"")</f>
        <v/>
      </c>
      <c r="J752" s="10" t="s">
        <v>7</v>
      </c>
      <c r="K752" s="10" t="s">
        <v>7</v>
      </c>
      <c r="L752" s="10"/>
      <c r="M752" s="10" t="str">
        <f>IFERROR(VLOOKUP($B752,[1]INV!$B$7:$H$2575,7,0),"")</f>
        <v/>
      </c>
      <c r="N752" s="10"/>
      <c r="O752" s="10"/>
      <c r="P752" s="10"/>
      <c r="Q752" s="10"/>
      <c r="R752" s="10"/>
      <c r="S752" s="10"/>
      <c r="T752" s="10"/>
      <c r="V752" s="1" t="str">
        <f t="shared" si="42"/>
        <v/>
      </c>
      <c r="W752" s="1" t="str">
        <f t="shared" si="43"/>
        <v/>
      </c>
      <c r="X752" s="1" t="str">
        <f t="shared" si="44"/>
        <v/>
      </c>
    </row>
    <row r="753" spans="2:24" x14ac:dyDescent="0.25">
      <c r="B753" s="11">
        <f>[1]code!B750</f>
        <v>0</v>
      </c>
      <c r="C753" s="2">
        <f>[1]code!C750</f>
        <v>0</v>
      </c>
      <c r="D753" s="2">
        <f>[1]code!D750</f>
        <v>0</v>
      </c>
      <c r="E753" s="1">
        <f>[1]code!E750</f>
        <v>0</v>
      </c>
      <c r="F753" s="2">
        <f>[1]code!F750</f>
        <v>0</v>
      </c>
      <c r="G753" s="12">
        <f>[1]code!G750</f>
        <v>0</v>
      </c>
      <c r="I753" s="10" t="str">
        <f>IFERROR(VLOOKUP($B753,[1]INV!$B$7:$H$2575,7,0),"")</f>
        <v/>
      </c>
      <c r="J753" s="10" t="s">
        <v>7</v>
      </c>
      <c r="K753" s="10" t="s">
        <v>7</v>
      </c>
      <c r="L753" s="10"/>
      <c r="M753" s="10" t="str">
        <f>IFERROR(VLOOKUP($B753,[1]INV!$B$7:$H$2575,7,0),"")</f>
        <v/>
      </c>
      <c r="N753" s="10"/>
      <c r="O753" s="10"/>
      <c r="P753" s="10"/>
      <c r="Q753" s="10"/>
      <c r="R753" s="10"/>
      <c r="S753" s="10"/>
      <c r="T753" s="10"/>
      <c r="V753" s="1" t="str">
        <f t="shared" si="42"/>
        <v/>
      </c>
      <c r="W753" s="1" t="str">
        <f t="shared" si="43"/>
        <v/>
      </c>
      <c r="X753" s="1" t="str">
        <f t="shared" si="44"/>
        <v/>
      </c>
    </row>
    <row r="754" spans="2:24" x14ac:dyDescent="0.25">
      <c r="B754" s="11">
        <f>[1]code!B751</f>
        <v>0</v>
      </c>
      <c r="C754" s="2">
        <f>[1]code!C751</f>
        <v>0</v>
      </c>
      <c r="D754" s="2">
        <f>[1]code!D751</f>
        <v>0</v>
      </c>
      <c r="E754" s="1">
        <f>[1]code!E751</f>
        <v>0</v>
      </c>
      <c r="F754" s="2">
        <f>[1]code!F751</f>
        <v>0</v>
      </c>
      <c r="G754" s="12">
        <f>[1]code!G751</f>
        <v>0</v>
      </c>
      <c r="I754" s="10" t="str">
        <f>IFERROR(VLOOKUP($B754,[1]INV!$B$7:$H$2575,7,0),"")</f>
        <v/>
      </c>
      <c r="J754" s="10" t="s">
        <v>7</v>
      </c>
      <c r="K754" s="10" t="s">
        <v>7</v>
      </c>
      <c r="L754" s="10"/>
      <c r="M754" s="10" t="str">
        <f>IFERROR(VLOOKUP($B754,[1]INV!$B$7:$H$2575,7,0),"")</f>
        <v/>
      </c>
      <c r="N754" s="10"/>
      <c r="O754" s="10"/>
      <c r="P754" s="10"/>
      <c r="Q754" s="10"/>
      <c r="R754" s="10"/>
      <c r="S754" s="10"/>
      <c r="T754" s="10"/>
      <c r="V754" s="1" t="str">
        <f t="shared" si="42"/>
        <v/>
      </c>
      <c r="W754" s="1" t="str">
        <f t="shared" si="43"/>
        <v/>
      </c>
      <c r="X754" s="1" t="str">
        <f t="shared" si="44"/>
        <v/>
      </c>
    </row>
    <row r="755" spans="2:24" x14ac:dyDescent="0.25">
      <c r="B755" s="11">
        <f>[1]code!B752</f>
        <v>0</v>
      </c>
      <c r="C755" s="2">
        <f>[1]code!C752</f>
        <v>0</v>
      </c>
      <c r="D755" s="2">
        <f>[1]code!D752</f>
        <v>0</v>
      </c>
      <c r="E755" s="1">
        <f>[1]code!E752</f>
        <v>0</v>
      </c>
      <c r="F755" s="2">
        <f>[1]code!F752</f>
        <v>0</v>
      </c>
      <c r="G755" s="12">
        <f>[1]code!G752</f>
        <v>0</v>
      </c>
      <c r="I755" s="10" t="str">
        <f>IFERROR(VLOOKUP($B755,[1]INV!$B$7:$H$2575,7,0),"")</f>
        <v/>
      </c>
      <c r="J755" s="10" t="s">
        <v>7</v>
      </c>
      <c r="K755" s="10" t="s">
        <v>7</v>
      </c>
      <c r="L755" s="10"/>
      <c r="M755" s="10" t="str">
        <f>IFERROR(VLOOKUP($B755,[1]INV!$B$7:$H$2575,7,0),"")</f>
        <v/>
      </c>
      <c r="N755" s="10"/>
      <c r="O755" s="10"/>
      <c r="P755" s="10"/>
      <c r="Q755" s="10"/>
      <c r="R755" s="10"/>
      <c r="S755" s="10"/>
      <c r="T755" s="10"/>
      <c r="V755" s="1" t="str">
        <f t="shared" si="42"/>
        <v/>
      </c>
      <c r="W755" s="1" t="str">
        <f t="shared" si="43"/>
        <v/>
      </c>
      <c r="X755" s="1" t="str">
        <f t="shared" si="44"/>
        <v/>
      </c>
    </row>
    <row r="756" spans="2:24" x14ac:dyDescent="0.25">
      <c r="B756" s="11">
        <f>[1]code!B753</f>
        <v>0</v>
      </c>
      <c r="C756" s="2">
        <f>[1]code!C753</f>
        <v>0</v>
      </c>
      <c r="D756" s="2">
        <f>[1]code!D753</f>
        <v>0</v>
      </c>
      <c r="E756" s="1">
        <f>[1]code!E753</f>
        <v>0</v>
      </c>
      <c r="F756" s="2">
        <f>[1]code!F753</f>
        <v>0</v>
      </c>
      <c r="G756" s="12">
        <f>[1]code!G753</f>
        <v>0</v>
      </c>
      <c r="I756" s="10" t="str">
        <f>IFERROR(VLOOKUP($B756,[1]INV!$B$7:$H$2575,7,0),"")</f>
        <v/>
      </c>
      <c r="J756" s="10" t="s">
        <v>7</v>
      </c>
      <c r="K756" s="10" t="s">
        <v>7</v>
      </c>
      <c r="L756" s="10"/>
      <c r="M756" s="10" t="str">
        <f>IFERROR(VLOOKUP($B756,[1]INV!$B$7:$H$2575,7,0),"")</f>
        <v/>
      </c>
      <c r="N756" s="10"/>
      <c r="O756" s="10"/>
      <c r="P756" s="10"/>
      <c r="Q756" s="10"/>
      <c r="R756" s="10"/>
      <c r="S756" s="10"/>
      <c r="T756" s="10"/>
      <c r="V756" s="1" t="str">
        <f t="shared" si="42"/>
        <v/>
      </c>
      <c r="W756" s="1" t="str">
        <f t="shared" si="43"/>
        <v/>
      </c>
      <c r="X756" s="1" t="str">
        <f t="shared" si="44"/>
        <v/>
      </c>
    </row>
    <row r="757" spans="2:24" x14ac:dyDescent="0.25">
      <c r="B757" s="11">
        <f>[1]code!B754</f>
        <v>0</v>
      </c>
      <c r="C757" s="2">
        <f>[1]code!C754</f>
        <v>0</v>
      </c>
      <c r="D757" s="2">
        <f>[1]code!D754</f>
        <v>0</v>
      </c>
      <c r="E757" s="1">
        <f>[1]code!E754</f>
        <v>0</v>
      </c>
      <c r="F757" s="2">
        <f>[1]code!F754</f>
        <v>0</v>
      </c>
      <c r="G757" s="12">
        <f>[1]code!G754</f>
        <v>0</v>
      </c>
      <c r="I757" s="10" t="str">
        <f>IFERROR(VLOOKUP($B757,[1]INV!$B$7:$H$2575,7,0),"")</f>
        <v/>
      </c>
      <c r="J757" s="10" t="s">
        <v>7</v>
      </c>
      <c r="K757" s="10" t="s">
        <v>7</v>
      </c>
      <c r="L757" s="10"/>
      <c r="M757" s="10" t="str">
        <f>IFERROR(VLOOKUP($B757,[1]INV!$B$7:$H$2575,7,0),"")</f>
        <v/>
      </c>
      <c r="N757" s="10"/>
      <c r="O757" s="10"/>
      <c r="P757" s="10"/>
      <c r="Q757" s="10"/>
      <c r="R757" s="10"/>
      <c r="S757" s="10"/>
      <c r="T757" s="10"/>
      <c r="V757" s="1" t="str">
        <f t="shared" si="42"/>
        <v/>
      </c>
      <c r="W757" s="1" t="str">
        <f t="shared" si="43"/>
        <v/>
      </c>
      <c r="X757" s="1" t="str">
        <f t="shared" si="44"/>
        <v/>
      </c>
    </row>
    <row r="758" spans="2:24" x14ac:dyDescent="0.25">
      <c r="B758" s="11">
        <f>[1]code!B755</f>
        <v>0</v>
      </c>
      <c r="C758" s="2">
        <f>[1]code!C755</f>
        <v>0</v>
      </c>
      <c r="D758" s="2">
        <f>[1]code!D755</f>
        <v>0</v>
      </c>
      <c r="E758" s="1">
        <f>[1]code!E755</f>
        <v>0</v>
      </c>
      <c r="F758" s="2">
        <f>[1]code!F755</f>
        <v>0</v>
      </c>
      <c r="G758" s="12">
        <f>[1]code!G755</f>
        <v>0</v>
      </c>
      <c r="I758" s="10" t="str">
        <f>IFERROR(VLOOKUP($B758,[1]INV!$B$7:$H$2575,7,0),"")</f>
        <v/>
      </c>
      <c r="J758" s="10" t="s">
        <v>7</v>
      </c>
      <c r="K758" s="10" t="s">
        <v>7</v>
      </c>
      <c r="L758" s="10"/>
      <c r="M758" s="10" t="str">
        <f>IFERROR(VLOOKUP($B758,[1]INV!$B$7:$H$2575,7,0),"")</f>
        <v/>
      </c>
      <c r="N758" s="10"/>
      <c r="O758" s="10"/>
      <c r="P758" s="10"/>
      <c r="Q758" s="10"/>
      <c r="R758" s="10"/>
      <c r="S758" s="10"/>
      <c r="T758" s="10"/>
      <c r="V758" s="1" t="str">
        <f t="shared" si="42"/>
        <v/>
      </c>
      <c r="W758" s="1" t="str">
        <f t="shared" si="43"/>
        <v/>
      </c>
      <c r="X758" s="1" t="str">
        <f t="shared" si="44"/>
        <v/>
      </c>
    </row>
    <row r="759" spans="2:24" x14ac:dyDescent="0.25">
      <c r="B759" s="11">
        <f>[1]code!B756</f>
        <v>0</v>
      </c>
      <c r="C759" s="2">
        <f>[1]code!C756</f>
        <v>0</v>
      </c>
      <c r="D759" s="2">
        <f>[1]code!D756</f>
        <v>0</v>
      </c>
      <c r="E759" s="1">
        <f>[1]code!E756</f>
        <v>0</v>
      </c>
      <c r="F759" s="2">
        <f>[1]code!F756</f>
        <v>0</v>
      </c>
      <c r="G759" s="12">
        <f>[1]code!G756</f>
        <v>0</v>
      </c>
      <c r="I759" s="10" t="str">
        <f>IFERROR(VLOOKUP($B759,[1]INV!$B$7:$H$2575,7,0),"")</f>
        <v/>
      </c>
      <c r="J759" s="10" t="s">
        <v>7</v>
      </c>
      <c r="K759" s="10" t="s">
        <v>7</v>
      </c>
      <c r="L759" s="10"/>
      <c r="M759" s="10" t="str">
        <f>IFERROR(VLOOKUP($B759,[1]INV!$B$7:$H$2575,7,0),"")</f>
        <v/>
      </c>
      <c r="N759" s="10"/>
      <c r="O759" s="10"/>
      <c r="P759" s="10"/>
      <c r="Q759" s="10"/>
      <c r="R759" s="10"/>
      <c r="S759" s="10"/>
      <c r="T759" s="10"/>
      <c r="V759" s="1" t="str">
        <f t="shared" si="42"/>
        <v/>
      </c>
      <c r="W759" s="1" t="str">
        <f t="shared" si="43"/>
        <v/>
      </c>
      <c r="X759" s="1" t="str">
        <f t="shared" si="44"/>
        <v/>
      </c>
    </row>
    <row r="760" spans="2:24" x14ac:dyDescent="0.25">
      <c r="B760" s="11">
        <f>[1]code!B757</f>
        <v>0</v>
      </c>
      <c r="C760" s="2">
        <f>[1]code!C757</f>
        <v>0</v>
      </c>
      <c r="D760" s="2">
        <f>[1]code!D757</f>
        <v>0</v>
      </c>
      <c r="E760" s="1">
        <f>[1]code!E757</f>
        <v>0</v>
      </c>
      <c r="F760" s="2">
        <f>[1]code!F757</f>
        <v>0</v>
      </c>
      <c r="G760" s="12">
        <f>[1]code!G757</f>
        <v>0</v>
      </c>
      <c r="I760" s="10" t="str">
        <f>IFERROR(VLOOKUP($B760,[1]INV!$B$7:$H$2575,7,0),"")</f>
        <v/>
      </c>
      <c r="J760" s="10" t="s">
        <v>7</v>
      </c>
      <c r="K760" s="10" t="s">
        <v>7</v>
      </c>
      <c r="L760" s="10"/>
      <c r="M760" s="10" t="str">
        <f>IFERROR(VLOOKUP($B760,[1]INV!$B$7:$H$2575,7,0),"")</f>
        <v/>
      </c>
      <c r="N760" s="10"/>
      <c r="O760" s="10"/>
      <c r="P760" s="10"/>
      <c r="Q760" s="10"/>
      <c r="R760" s="10"/>
      <c r="S760" s="10"/>
      <c r="T760" s="10"/>
      <c r="V760" s="1" t="str">
        <f t="shared" si="42"/>
        <v/>
      </c>
      <c r="W760" s="1" t="str">
        <f t="shared" si="43"/>
        <v/>
      </c>
      <c r="X760" s="1" t="str">
        <f t="shared" si="44"/>
        <v/>
      </c>
    </row>
    <row r="761" spans="2:24" x14ac:dyDescent="0.25">
      <c r="B761" s="11">
        <f>[1]code!B758</f>
        <v>0</v>
      </c>
      <c r="C761" s="2">
        <f>[1]code!C758</f>
        <v>0</v>
      </c>
      <c r="D761" s="2">
        <f>[1]code!D758</f>
        <v>0</v>
      </c>
      <c r="E761" s="1">
        <f>[1]code!E758</f>
        <v>0</v>
      </c>
      <c r="F761" s="2">
        <f>[1]code!F758</f>
        <v>0</v>
      </c>
      <c r="G761" s="12">
        <f>[1]code!G758</f>
        <v>0</v>
      </c>
      <c r="I761" s="10" t="str">
        <f>IFERROR(VLOOKUP($B761,[1]INV!$B$7:$H$2575,7,0),"")</f>
        <v/>
      </c>
      <c r="J761" s="10" t="s">
        <v>7</v>
      </c>
      <c r="K761" s="10" t="s">
        <v>7</v>
      </c>
      <c r="L761" s="10"/>
      <c r="M761" s="10" t="str">
        <f>IFERROR(VLOOKUP($B761,[1]INV!$B$7:$H$2575,7,0),"")</f>
        <v/>
      </c>
      <c r="N761" s="10"/>
      <c r="O761" s="10"/>
      <c r="P761" s="10"/>
      <c r="Q761" s="10"/>
      <c r="R761" s="10"/>
      <c r="S761" s="10"/>
      <c r="T761" s="10"/>
      <c r="V761" s="1" t="str">
        <f t="shared" si="42"/>
        <v/>
      </c>
      <c r="W761" s="1" t="str">
        <f t="shared" si="43"/>
        <v/>
      </c>
      <c r="X761" s="1" t="str">
        <f t="shared" si="44"/>
        <v/>
      </c>
    </row>
    <row r="762" spans="2:24" x14ac:dyDescent="0.25">
      <c r="B762" s="11">
        <f>[1]code!B759</f>
        <v>0</v>
      </c>
      <c r="C762" s="2">
        <f>[1]code!C759</f>
        <v>0</v>
      </c>
      <c r="D762" s="2">
        <f>[1]code!D759</f>
        <v>0</v>
      </c>
      <c r="E762" s="1">
        <f>[1]code!E759</f>
        <v>0</v>
      </c>
      <c r="F762" s="2">
        <f>[1]code!F759</f>
        <v>0</v>
      </c>
      <c r="G762" s="12">
        <f>[1]code!G759</f>
        <v>0</v>
      </c>
      <c r="I762" s="10" t="str">
        <f>IFERROR(VLOOKUP($B762,[1]INV!$B$7:$H$2575,7,0),"")</f>
        <v/>
      </c>
      <c r="J762" s="10" t="s">
        <v>7</v>
      </c>
      <c r="K762" s="10" t="s">
        <v>7</v>
      </c>
      <c r="L762" s="10"/>
      <c r="M762" s="10" t="str">
        <f>IFERROR(VLOOKUP($B762,[1]INV!$B$7:$H$2575,7,0),"")</f>
        <v/>
      </c>
      <c r="N762" s="10"/>
      <c r="O762" s="10"/>
      <c r="P762" s="10"/>
      <c r="Q762" s="10"/>
      <c r="R762" s="10"/>
      <c r="S762" s="10"/>
      <c r="T762" s="10"/>
      <c r="V762" s="1" t="str">
        <f t="shared" si="42"/>
        <v/>
      </c>
      <c r="W762" s="1" t="str">
        <f t="shared" si="43"/>
        <v/>
      </c>
      <c r="X762" s="1" t="str">
        <f t="shared" si="44"/>
        <v/>
      </c>
    </row>
    <row r="763" spans="2:24" x14ac:dyDescent="0.25">
      <c r="B763" s="11">
        <f>[1]code!B760</f>
        <v>0</v>
      </c>
      <c r="C763" s="2">
        <f>[1]code!C760</f>
        <v>0</v>
      </c>
      <c r="D763" s="2">
        <f>[1]code!D760</f>
        <v>0</v>
      </c>
      <c r="E763" s="1">
        <f>[1]code!E760</f>
        <v>0</v>
      </c>
      <c r="F763" s="2">
        <f>[1]code!F760</f>
        <v>0</v>
      </c>
      <c r="G763" s="12">
        <f>[1]code!G760</f>
        <v>0</v>
      </c>
      <c r="I763" s="10" t="str">
        <f>IFERROR(VLOOKUP($B763,[1]INV!$B$7:$H$2575,7,0),"")</f>
        <v/>
      </c>
      <c r="J763" s="10" t="s">
        <v>7</v>
      </c>
      <c r="K763" s="10" t="s">
        <v>7</v>
      </c>
      <c r="L763" s="10"/>
      <c r="M763" s="10" t="str">
        <f>IFERROR(VLOOKUP($B763,[1]INV!$B$7:$H$2575,7,0),"")</f>
        <v/>
      </c>
      <c r="N763" s="10"/>
      <c r="O763" s="10"/>
      <c r="P763" s="10"/>
      <c r="Q763" s="10"/>
      <c r="R763" s="10"/>
      <c r="S763" s="10"/>
      <c r="T763" s="10"/>
      <c r="V763" s="1" t="str">
        <f t="shared" si="42"/>
        <v/>
      </c>
      <c r="W763" s="1" t="str">
        <f t="shared" si="43"/>
        <v/>
      </c>
      <c r="X763" s="1" t="str">
        <f t="shared" si="44"/>
        <v/>
      </c>
    </row>
    <row r="764" spans="2:24" x14ac:dyDescent="0.25">
      <c r="B764" s="11">
        <f>[1]code!B761</f>
        <v>0</v>
      </c>
      <c r="C764" s="2">
        <f>[1]code!C761</f>
        <v>0</v>
      </c>
      <c r="D764" s="2">
        <f>[1]code!D761</f>
        <v>0</v>
      </c>
      <c r="E764" s="1">
        <f>[1]code!E761</f>
        <v>0</v>
      </c>
      <c r="F764" s="2">
        <f>[1]code!F761</f>
        <v>0</v>
      </c>
      <c r="G764" s="12">
        <f>[1]code!G761</f>
        <v>0</v>
      </c>
      <c r="I764" s="10" t="str">
        <f>IFERROR(VLOOKUP($B764,[1]INV!$B$7:$H$2575,7,0),"")</f>
        <v/>
      </c>
      <c r="J764" s="10" t="s">
        <v>7</v>
      </c>
      <c r="K764" s="10" t="s">
        <v>7</v>
      </c>
      <c r="L764" s="10"/>
      <c r="M764" s="10" t="str">
        <f>IFERROR(VLOOKUP($B764,[1]INV!$B$7:$H$2575,7,0),"")</f>
        <v/>
      </c>
      <c r="N764" s="10"/>
      <c r="O764" s="10"/>
      <c r="P764" s="10"/>
      <c r="Q764" s="10"/>
      <c r="R764" s="10"/>
      <c r="S764" s="10"/>
      <c r="T764" s="10"/>
      <c r="V764" s="1" t="str">
        <f t="shared" si="42"/>
        <v/>
      </c>
      <c r="W764" s="1" t="str">
        <f t="shared" si="43"/>
        <v/>
      </c>
      <c r="X764" s="1" t="str">
        <f t="shared" si="44"/>
        <v/>
      </c>
    </row>
    <row r="765" spans="2:24" x14ac:dyDescent="0.25">
      <c r="B765" s="11">
        <f>[1]code!B762</f>
        <v>0</v>
      </c>
      <c r="C765" s="2">
        <f>[1]code!C762</f>
        <v>0</v>
      </c>
      <c r="D765" s="2">
        <f>[1]code!D762</f>
        <v>0</v>
      </c>
      <c r="E765" s="1">
        <f>[1]code!E762</f>
        <v>0</v>
      </c>
      <c r="F765" s="2">
        <f>[1]code!F762</f>
        <v>0</v>
      </c>
      <c r="G765" s="12">
        <f>[1]code!G762</f>
        <v>0</v>
      </c>
      <c r="I765" s="10" t="str">
        <f>IFERROR(VLOOKUP($B765,[1]INV!$B$7:$H$2575,7,0),"")</f>
        <v/>
      </c>
      <c r="J765" s="10" t="s">
        <v>7</v>
      </c>
      <c r="K765" s="10" t="s">
        <v>7</v>
      </c>
      <c r="L765" s="10"/>
      <c r="M765" s="10" t="str">
        <f>IFERROR(VLOOKUP($B765,[1]INV!$B$7:$H$2575,7,0),"")</f>
        <v/>
      </c>
      <c r="N765" s="10"/>
      <c r="O765" s="10"/>
      <c r="P765" s="10"/>
      <c r="Q765" s="10"/>
      <c r="R765" s="10"/>
      <c r="S765" s="10"/>
      <c r="T765" s="10"/>
      <c r="V765" s="1" t="str">
        <f t="shared" si="42"/>
        <v/>
      </c>
      <c r="W765" s="1" t="str">
        <f t="shared" si="43"/>
        <v/>
      </c>
      <c r="X765" s="1" t="str">
        <f t="shared" si="44"/>
        <v/>
      </c>
    </row>
    <row r="766" spans="2:24" x14ac:dyDescent="0.25">
      <c r="B766" s="11">
        <f>[1]code!B763</f>
        <v>0</v>
      </c>
      <c r="C766" s="2">
        <f>[1]code!C763</f>
        <v>0</v>
      </c>
      <c r="D766" s="2">
        <f>[1]code!D763</f>
        <v>0</v>
      </c>
      <c r="E766" s="1">
        <f>[1]code!E763</f>
        <v>0</v>
      </c>
      <c r="F766" s="2">
        <f>[1]code!F763</f>
        <v>0</v>
      </c>
      <c r="G766" s="12">
        <f>[1]code!G763</f>
        <v>0</v>
      </c>
      <c r="I766" s="10" t="str">
        <f>IFERROR(VLOOKUP($B766,[1]INV!$B$7:$H$2575,7,0),"")</f>
        <v/>
      </c>
      <c r="J766" s="10" t="s">
        <v>7</v>
      </c>
      <c r="K766" s="10" t="s">
        <v>7</v>
      </c>
      <c r="L766" s="10"/>
      <c r="M766" s="10" t="str">
        <f>IFERROR(VLOOKUP($B766,[1]INV!$B$7:$H$2575,7,0),"")</f>
        <v/>
      </c>
      <c r="N766" s="10"/>
      <c r="O766" s="10"/>
      <c r="P766" s="10"/>
      <c r="Q766" s="10"/>
      <c r="R766" s="10"/>
      <c r="S766" s="10"/>
      <c r="T766" s="10"/>
      <c r="V766" s="1" t="str">
        <f t="shared" si="42"/>
        <v/>
      </c>
      <c r="W766" s="1" t="str">
        <f t="shared" si="43"/>
        <v/>
      </c>
      <c r="X766" s="1" t="str">
        <f t="shared" si="44"/>
        <v/>
      </c>
    </row>
    <row r="767" spans="2:24" x14ac:dyDescent="0.25">
      <c r="B767" s="11">
        <f>[1]code!B764</f>
        <v>0</v>
      </c>
      <c r="C767" s="2">
        <f>[1]code!C764</f>
        <v>0</v>
      </c>
      <c r="D767" s="2">
        <f>[1]code!D764</f>
        <v>0</v>
      </c>
      <c r="E767" s="1">
        <f>[1]code!E764</f>
        <v>0</v>
      </c>
      <c r="F767" s="2">
        <f>[1]code!F764</f>
        <v>0</v>
      </c>
      <c r="G767" s="12">
        <f>[1]code!G764</f>
        <v>0</v>
      </c>
      <c r="I767" s="10" t="str">
        <f>IFERROR(VLOOKUP($B767,[1]INV!$B$7:$H$2575,7,0),"")</f>
        <v/>
      </c>
      <c r="J767" s="10" t="s">
        <v>7</v>
      </c>
      <c r="K767" s="10" t="s">
        <v>7</v>
      </c>
      <c r="L767" s="10"/>
      <c r="M767" s="10" t="str">
        <f>IFERROR(VLOOKUP($B767,[1]INV!$B$7:$H$2575,7,0),"")</f>
        <v/>
      </c>
      <c r="N767" s="10"/>
      <c r="O767" s="10"/>
      <c r="P767" s="10"/>
      <c r="Q767" s="10"/>
      <c r="R767" s="10"/>
      <c r="S767" s="10"/>
      <c r="T767" s="10"/>
      <c r="V767" s="1" t="str">
        <f t="shared" si="42"/>
        <v/>
      </c>
      <c r="W767" s="1" t="str">
        <f t="shared" si="43"/>
        <v/>
      </c>
      <c r="X767" s="1" t="str">
        <f t="shared" si="44"/>
        <v/>
      </c>
    </row>
    <row r="768" spans="2:24" x14ac:dyDescent="0.25">
      <c r="B768" s="11">
        <f>[1]code!B765</f>
        <v>0</v>
      </c>
      <c r="C768" s="2">
        <f>[1]code!C765</f>
        <v>0</v>
      </c>
      <c r="D768" s="2">
        <f>[1]code!D765</f>
        <v>0</v>
      </c>
      <c r="E768" s="1">
        <f>[1]code!E765</f>
        <v>0</v>
      </c>
      <c r="F768" s="2">
        <f>[1]code!F765</f>
        <v>0</v>
      </c>
      <c r="G768" s="12">
        <f>[1]code!G765</f>
        <v>0</v>
      </c>
      <c r="I768" s="10" t="str">
        <f>IFERROR(VLOOKUP($B768,[1]INV!$B$7:$H$2575,7,0),"")</f>
        <v/>
      </c>
      <c r="J768" s="10" t="s">
        <v>7</v>
      </c>
      <c r="K768" s="10" t="s">
        <v>7</v>
      </c>
      <c r="L768" s="10"/>
      <c r="M768" s="10" t="str">
        <f>IFERROR(VLOOKUP($B768,[1]INV!$B$7:$H$2575,7,0),"")</f>
        <v/>
      </c>
      <c r="N768" s="10"/>
      <c r="O768" s="10"/>
      <c r="P768" s="10"/>
      <c r="Q768" s="10"/>
      <c r="R768" s="10"/>
      <c r="S768" s="10"/>
      <c r="T768" s="10"/>
      <c r="V768" s="1" t="str">
        <f t="shared" si="42"/>
        <v/>
      </c>
      <c r="W768" s="1" t="str">
        <f t="shared" si="43"/>
        <v/>
      </c>
      <c r="X768" s="1" t="str">
        <f t="shared" si="44"/>
        <v/>
      </c>
    </row>
    <row r="769" spans="2:24" x14ac:dyDescent="0.25">
      <c r="B769" s="11">
        <f>[1]code!B766</f>
        <v>0</v>
      </c>
      <c r="C769" s="2">
        <f>[1]code!C766</f>
        <v>0</v>
      </c>
      <c r="D769" s="2">
        <f>[1]code!D766</f>
        <v>0</v>
      </c>
      <c r="E769" s="1">
        <f>[1]code!E766</f>
        <v>0</v>
      </c>
      <c r="F769" s="2">
        <f>[1]code!F766</f>
        <v>0</v>
      </c>
      <c r="G769" s="12">
        <f>[1]code!G766</f>
        <v>0</v>
      </c>
      <c r="I769" s="10" t="str">
        <f>IFERROR(VLOOKUP($B769,[1]INV!$B$7:$H$2575,7,0),"")</f>
        <v/>
      </c>
      <c r="J769" s="10" t="s">
        <v>7</v>
      </c>
      <c r="K769" s="10" t="s">
        <v>7</v>
      </c>
      <c r="L769" s="10"/>
      <c r="M769" s="10" t="str">
        <f>IFERROR(VLOOKUP($B769,[1]INV!$B$7:$H$2575,7,0),"")</f>
        <v/>
      </c>
      <c r="N769" s="10"/>
      <c r="O769" s="10"/>
      <c r="P769" s="10"/>
      <c r="Q769" s="10"/>
      <c r="R769" s="10"/>
      <c r="S769" s="10"/>
      <c r="T769" s="10"/>
      <c r="V769" s="1" t="str">
        <f t="shared" si="42"/>
        <v/>
      </c>
      <c r="W769" s="1" t="str">
        <f t="shared" si="43"/>
        <v/>
      </c>
      <c r="X769" s="1" t="str">
        <f t="shared" si="44"/>
        <v/>
      </c>
    </row>
    <row r="770" spans="2:24" x14ac:dyDescent="0.25">
      <c r="B770" s="11">
        <f>[1]code!B767</f>
        <v>0</v>
      </c>
      <c r="C770" s="2">
        <f>[1]code!C767</f>
        <v>0</v>
      </c>
      <c r="D770" s="2">
        <f>[1]code!D767</f>
        <v>0</v>
      </c>
      <c r="E770" s="1">
        <f>[1]code!E767</f>
        <v>0</v>
      </c>
      <c r="F770" s="2">
        <f>[1]code!F767</f>
        <v>0</v>
      </c>
      <c r="G770" s="12">
        <f>[1]code!G767</f>
        <v>0</v>
      </c>
      <c r="I770" s="10" t="str">
        <f>IFERROR(VLOOKUP($B770,[1]INV!$B$7:$H$2575,7,0),"")</f>
        <v/>
      </c>
      <c r="J770" s="10" t="s">
        <v>7</v>
      </c>
      <c r="K770" s="10" t="s">
        <v>7</v>
      </c>
      <c r="L770" s="10"/>
      <c r="M770" s="10" t="str">
        <f>IFERROR(VLOOKUP($B770,[1]INV!$B$7:$H$2575,7,0),"")</f>
        <v/>
      </c>
      <c r="N770" s="10"/>
      <c r="O770" s="10"/>
      <c r="P770" s="10"/>
      <c r="Q770" s="10"/>
      <c r="R770" s="10"/>
      <c r="S770" s="10"/>
      <c r="T770" s="10"/>
      <c r="V770" s="1" t="str">
        <f t="shared" si="42"/>
        <v/>
      </c>
      <c r="W770" s="1" t="str">
        <f t="shared" si="43"/>
        <v/>
      </c>
      <c r="X770" s="1" t="str">
        <f t="shared" si="44"/>
        <v/>
      </c>
    </row>
    <row r="771" spans="2:24" x14ac:dyDescent="0.25">
      <c r="B771" s="11">
        <f>[1]code!B768</f>
        <v>0</v>
      </c>
      <c r="C771" s="2">
        <f>[1]code!C768</f>
        <v>0</v>
      </c>
      <c r="D771" s="2">
        <f>[1]code!D768</f>
        <v>0</v>
      </c>
      <c r="E771" s="1">
        <f>[1]code!E768</f>
        <v>0</v>
      </c>
      <c r="F771" s="2">
        <f>[1]code!F768</f>
        <v>0</v>
      </c>
      <c r="G771" s="12">
        <f>[1]code!G768</f>
        <v>0</v>
      </c>
      <c r="I771" s="10" t="str">
        <f>IFERROR(VLOOKUP($B771,[1]INV!$B$7:$H$2575,7,0),"")</f>
        <v/>
      </c>
      <c r="J771" s="10" t="s">
        <v>7</v>
      </c>
      <c r="K771" s="10" t="s">
        <v>7</v>
      </c>
      <c r="L771" s="10"/>
      <c r="M771" s="10" t="str">
        <f>IFERROR(VLOOKUP($B771,[1]INV!$B$7:$H$2575,7,0),"")</f>
        <v/>
      </c>
      <c r="N771" s="10"/>
      <c r="O771" s="10"/>
      <c r="P771" s="10"/>
      <c r="Q771" s="10"/>
      <c r="R771" s="10"/>
      <c r="S771" s="10"/>
      <c r="T771" s="10"/>
      <c r="V771" s="1" t="str">
        <f t="shared" si="42"/>
        <v/>
      </c>
      <c r="W771" s="1" t="str">
        <f t="shared" si="43"/>
        <v/>
      </c>
      <c r="X771" s="1" t="str">
        <f t="shared" si="44"/>
        <v/>
      </c>
    </row>
    <row r="772" spans="2:24" x14ac:dyDescent="0.25">
      <c r="B772" s="11">
        <f>[1]code!B769</f>
        <v>0</v>
      </c>
      <c r="C772" s="2">
        <f>[1]code!C769</f>
        <v>0</v>
      </c>
      <c r="D772" s="2">
        <f>[1]code!D769</f>
        <v>0</v>
      </c>
      <c r="E772" s="1">
        <f>[1]code!E769</f>
        <v>0</v>
      </c>
      <c r="F772" s="2">
        <f>[1]code!F769</f>
        <v>0</v>
      </c>
      <c r="G772" s="12">
        <f>[1]code!G769</f>
        <v>0</v>
      </c>
      <c r="I772" s="10" t="str">
        <f>IFERROR(VLOOKUP($B772,[1]INV!$B$7:$H$2575,7,0),"")</f>
        <v/>
      </c>
      <c r="J772" s="10" t="s">
        <v>7</v>
      </c>
      <c r="K772" s="10" t="s">
        <v>7</v>
      </c>
      <c r="L772" s="10"/>
      <c r="M772" s="10" t="str">
        <f>IFERROR(VLOOKUP($B772,[1]INV!$B$7:$H$2575,7,0),"")</f>
        <v/>
      </c>
      <c r="N772" s="10"/>
      <c r="O772" s="10"/>
      <c r="P772" s="10"/>
      <c r="Q772" s="10"/>
      <c r="R772" s="10"/>
      <c r="S772" s="10"/>
      <c r="T772" s="10"/>
      <c r="V772" s="1" t="str">
        <f t="shared" si="42"/>
        <v/>
      </c>
      <c r="W772" s="1" t="str">
        <f t="shared" si="43"/>
        <v/>
      </c>
      <c r="X772" s="1" t="str">
        <f t="shared" si="44"/>
        <v/>
      </c>
    </row>
    <row r="773" spans="2:24" x14ac:dyDescent="0.25">
      <c r="B773" s="11">
        <f>[1]code!B770</f>
        <v>0</v>
      </c>
      <c r="C773" s="2">
        <f>[1]code!C770</f>
        <v>0</v>
      </c>
      <c r="D773" s="2">
        <f>[1]code!D770</f>
        <v>0</v>
      </c>
      <c r="E773" s="1">
        <f>[1]code!E770</f>
        <v>0</v>
      </c>
      <c r="F773" s="2">
        <f>[1]code!F770</f>
        <v>0</v>
      </c>
      <c r="G773" s="12">
        <f>[1]code!G770</f>
        <v>0</v>
      </c>
      <c r="I773" s="10" t="str">
        <f>IFERROR(VLOOKUP($B773,[1]INV!$B$7:$H$2575,7,0),"")</f>
        <v/>
      </c>
      <c r="J773" s="10" t="s">
        <v>7</v>
      </c>
      <c r="K773" s="10" t="s">
        <v>7</v>
      </c>
      <c r="L773" s="10"/>
      <c r="M773" s="10" t="str">
        <f>IFERROR(VLOOKUP($B773,[1]INV!$B$7:$H$2575,7,0),"")</f>
        <v/>
      </c>
      <c r="N773" s="10"/>
      <c r="O773" s="10"/>
      <c r="P773" s="10"/>
      <c r="Q773" s="10"/>
      <c r="R773" s="10"/>
      <c r="S773" s="10"/>
      <c r="T773" s="10"/>
      <c r="V773" s="1" t="str">
        <f t="shared" si="42"/>
        <v/>
      </c>
      <c r="W773" s="1" t="str">
        <f t="shared" si="43"/>
        <v/>
      </c>
      <c r="X773" s="1" t="str">
        <f t="shared" si="44"/>
        <v/>
      </c>
    </row>
    <row r="774" spans="2:24" x14ac:dyDescent="0.25">
      <c r="B774" s="11">
        <f>[1]code!B771</f>
        <v>0</v>
      </c>
      <c r="C774" s="2">
        <f>[1]code!C771</f>
        <v>0</v>
      </c>
      <c r="D774" s="2">
        <f>[1]code!D771</f>
        <v>0</v>
      </c>
      <c r="E774" s="1">
        <f>[1]code!E771</f>
        <v>0</v>
      </c>
      <c r="F774" s="2">
        <f>[1]code!F771</f>
        <v>0</v>
      </c>
      <c r="G774" s="12">
        <f>[1]code!G771</f>
        <v>0</v>
      </c>
      <c r="I774" s="10" t="str">
        <f>IFERROR(VLOOKUP($B774,[1]INV!$B$7:$H$2575,7,0),"")</f>
        <v/>
      </c>
      <c r="J774" s="10" t="s">
        <v>7</v>
      </c>
      <c r="K774" s="10" t="s">
        <v>7</v>
      </c>
      <c r="L774" s="10"/>
      <c r="M774" s="10" t="str">
        <f>IFERROR(VLOOKUP($B774,[1]INV!$B$7:$H$2575,7,0),"")</f>
        <v/>
      </c>
      <c r="N774" s="10"/>
      <c r="O774" s="10"/>
      <c r="P774" s="10"/>
      <c r="Q774" s="10"/>
      <c r="R774" s="10"/>
      <c r="S774" s="10"/>
      <c r="T774" s="10"/>
      <c r="V774" s="1" t="str">
        <f t="shared" si="42"/>
        <v/>
      </c>
      <c r="W774" s="1" t="str">
        <f t="shared" si="43"/>
        <v/>
      </c>
      <c r="X774" s="1" t="str">
        <f t="shared" si="44"/>
        <v/>
      </c>
    </row>
    <row r="775" spans="2:24" x14ac:dyDescent="0.25">
      <c r="B775" s="11">
        <f>[1]code!B772</f>
        <v>0</v>
      </c>
      <c r="C775" s="2">
        <f>[1]code!C772</f>
        <v>0</v>
      </c>
      <c r="D775" s="2">
        <f>[1]code!D772</f>
        <v>0</v>
      </c>
      <c r="E775" s="1">
        <f>[1]code!E772</f>
        <v>0</v>
      </c>
      <c r="F775" s="2">
        <f>[1]code!F772</f>
        <v>0</v>
      </c>
      <c r="G775" s="12">
        <f>[1]code!G772</f>
        <v>0</v>
      </c>
      <c r="I775" s="10" t="str">
        <f>IFERROR(VLOOKUP($B775,[1]INV!$B$7:$H$2575,7,0),"")</f>
        <v/>
      </c>
      <c r="J775" s="10" t="s">
        <v>7</v>
      </c>
      <c r="K775" s="10" t="s">
        <v>7</v>
      </c>
      <c r="L775" s="10"/>
      <c r="M775" s="10" t="str">
        <f>IFERROR(VLOOKUP($B775,[1]INV!$B$7:$H$2575,7,0),"")</f>
        <v/>
      </c>
      <c r="N775" s="10"/>
      <c r="O775" s="10"/>
      <c r="P775" s="10"/>
      <c r="Q775" s="10"/>
      <c r="R775" s="10"/>
      <c r="S775" s="10"/>
      <c r="T775" s="10"/>
      <c r="V775" s="1" t="str">
        <f t="shared" si="42"/>
        <v/>
      </c>
      <c r="W775" s="1" t="str">
        <f t="shared" si="43"/>
        <v/>
      </c>
      <c r="X775" s="1" t="str">
        <f t="shared" si="44"/>
        <v/>
      </c>
    </row>
    <row r="776" spans="2:24" x14ac:dyDescent="0.25">
      <c r="B776" s="11">
        <f>[1]code!B773</f>
        <v>0</v>
      </c>
      <c r="C776" s="2">
        <f>[1]code!C773</f>
        <v>0</v>
      </c>
      <c r="D776" s="2">
        <f>[1]code!D773</f>
        <v>0</v>
      </c>
      <c r="E776" s="1">
        <f>[1]code!E773</f>
        <v>0</v>
      </c>
      <c r="F776" s="2">
        <f>[1]code!F773</f>
        <v>0</v>
      </c>
      <c r="G776" s="12">
        <f>[1]code!G773</f>
        <v>0</v>
      </c>
      <c r="I776" s="10" t="str">
        <f>IFERROR(VLOOKUP($B776,[1]INV!$B$7:$H$2575,7,0),"")</f>
        <v/>
      </c>
      <c r="J776" s="10" t="s">
        <v>7</v>
      </c>
      <c r="K776" s="10" t="s">
        <v>7</v>
      </c>
      <c r="L776" s="10"/>
      <c r="M776" s="10" t="str">
        <f>IFERROR(VLOOKUP($B776,[1]INV!$B$7:$H$2575,7,0),"")</f>
        <v/>
      </c>
      <c r="N776" s="10"/>
      <c r="O776" s="10"/>
      <c r="P776" s="10"/>
      <c r="Q776" s="10"/>
      <c r="R776" s="10"/>
      <c r="S776" s="10"/>
      <c r="T776" s="10"/>
      <c r="V776" s="1" t="str">
        <f t="shared" ref="V776:V819" si="45">IF($J776="",$I776,$J776)</f>
        <v/>
      </c>
      <c r="W776" s="1" t="str">
        <f t="shared" ref="W776:W819" si="46">IF($K776="",$J776,$K776)</f>
        <v/>
      </c>
      <c r="X776" s="1" t="str">
        <f t="shared" ref="X776:X819" si="47">IF($L776="",$K776,$L776)</f>
        <v/>
      </c>
    </row>
    <row r="777" spans="2:24" x14ac:dyDescent="0.25">
      <c r="B777" s="11">
        <f>[1]code!B774</f>
        <v>0</v>
      </c>
      <c r="C777" s="2">
        <f>[1]code!C774</f>
        <v>0</v>
      </c>
      <c r="D777" s="2">
        <f>[1]code!D774</f>
        <v>0</v>
      </c>
      <c r="E777" s="1">
        <f>[1]code!E774</f>
        <v>0</v>
      </c>
      <c r="F777" s="2">
        <f>[1]code!F774</f>
        <v>0</v>
      </c>
      <c r="G777" s="12">
        <f>[1]code!G774</f>
        <v>0</v>
      </c>
      <c r="I777" s="10" t="str">
        <f>IFERROR(VLOOKUP($B777,[1]INV!$B$7:$H$2575,7,0),"")</f>
        <v/>
      </c>
      <c r="J777" s="10" t="s">
        <v>7</v>
      </c>
      <c r="K777" s="10" t="s">
        <v>7</v>
      </c>
      <c r="L777" s="10"/>
      <c r="M777" s="10" t="str">
        <f>IFERROR(VLOOKUP($B777,[1]INV!$B$7:$H$2575,7,0),"")</f>
        <v/>
      </c>
      <c r="N777" s="10"/>
      <c r="O777" s="10"/>
      <c r="P777" s="10"/>
      <c r="Q777" s="10"/>
      <c r="R777" s="10"/>
      <c r="S777" s="10"/>
      <c r="T777" s="10"/>
      <c r="V777" s="1" t="str">
        <f t="shared" si="45"/>
        <v/>
      </c>
      <c r="W777" s="1" t="str">
        <f t="shared" si="46"/>
        <v/>
      </c>
      <c r="X777" s="1" t="str">
        <f t="shared" si="47"/>
        <v/>
      </c>
    </row>
    <row r="778" spans="2:24" x14ac:dyDescent="0.25">
      <c r="B778" s="11">
        <f>[1]code!B775</f>
        <v>0</v>
      </c>
      <c r="C778" s="2">
        <f>[1]code!C775</f>
        <v>0</v>
      </c>
      <c r="D778" s="2">
        <f>[1]code!D775</f>
        <v>0</v>
      </c>
      <c r="E778" s="1">
        <f>[1]code!E775</f>
        <v>0</v>
      </c>
      <c r="F778" s="2">
        <f>[1]code!F775</f>
        <v>0</v>
      </c>
      <c r="G778" s="12">
        <f>[1]code!G775</f>
        <v>0</v>
      </c>
      <c r="I778" s="10" t="str">
        <f>IFERROR(VLOOKUP($B778,[1]INV!$B$7:$H$2575,7,0),"")</f>
        <v/>
      </c>
      <c r="J778" s="10" t="s">
        <v>7</v>
      </c>
      <c r="K778" s="10" t="s">
        <v>7</v>
      </c>
      <c r="L778" s="10"/>
      <c r="M778" s="10" t="str">
        <f>IFERROR(VLOOKUP($B778,[1]INV!$B$7:$H$2575,7,0),"")</f>
        <v/>
      </c>
      <c r="N778" s="10"/>
      <c r="O778" s="10"/>
      <c r="P778" s="10"/>
      <c r="Q778" s="10"/>
      <c r="R778" s="10"/>
      <c r="S778" s="10"/>
      <c r="T778" s="10"/>
      <c r="V778" s="1" t="str">
        <f t="shared" si="45"/>
        <v/>
      </c>
      <c r="W778" s="1" t="str">
        <f t="shared" si="46"/>
        <v/>
      </c>
      <c r="X778" s="1" t="str">
        <f t="shared" si="47"/>
        <v/>
      </c>
    </row>
    <row r="779" spans="2:24" x14ac:dyDescent="0.25">
      <c r="B779" s="11">
        <f>[1]code!B776</f>
        <v>0</v>
      </c>
      <c r="C779" s="2">
        <f>[1]code!C776</f>
        <v>0</v>
      </c>
      <c r="D779" s="2">
        <f>[1]code!D776</f>
        <v>0</v>
      </c>
      <c r="E779" s="1">
        <f>[1]code!E776</f>
        <v>0</v>
      </c>
      <c r="F779" s="2">
        <f>[1]code!F776</f>
        <v>0</v>
      </c>
      <c r="G779" s="12">
        <f>[1]code!G776</f>
        <v>0</v>
      </c>
      <c r="I779" s="10" t="str">
        <f>IFERROR(VLOOKUP($B779,[1]INV!$B$7:$H$2575,7,0),"")</f>
        <v/>
      </c>
      <c r="J779" s="10" t="s">
        <v>7</v>
      </c>
      <c r="K779" s="10" t="s">
        <v>7</v>
      </c>
      <c r="L779" s="10"/>
      <c r="M779" s="10" t="str">
        <f>IFERROR(VLOOKUP($B779,[1]INV!$B$7:$H$2575,7,0),"")</f>
        <v/>
      </c>
      <c r="N779" s="10"/>
      <c r="O779" s="10"/>
      <c r="P779" s="10"/>
      <c r="Q779" s="10"/>
      <c r="R779" s="10"/>
      <c r="S779" s="10"/>
      <c r="T779" s="10"/>
      <c r="V779" s="1" t="str">
        <f t="shared" si="45"/>
        <v/>
      </c>
      <c r="W779" s="1" t="str">
        <f t="shared" si="46"/>
        <v/>
      </c>
      <c r="X779" s="1" t="str">
        <f t="shared" si="47"/>
        <v/>
      </c>
    </row>
    <row r="780" spans="2:24" x14ac:dyDescent="0.25">
      <c r="B780" s="11">
        <f>[1]code!B777</f>
        <v>0</v>
      </c>
      <c r="C780" s="2">
        <f>[1]code!C777</f>
        <v>0</v>
      </c>
      <c r="D780" s="2">
        <f>[1]code!D777</f>
        <v>0</v>
      </c>
      <c r="E780" s="1">
        <f>[1]code!E777</f>
        <v>0</v>
      </c>
      <c r="F780" s="2">
        <f>[1]code!F777</f>
        <v>0</v>
      </c>
      <c r="G780" s="12">
        <f>[1]code!G777</f>
        <v>0</v>
      </c>
      <c r="I780" s="10" t="str">
        <f>IFERROR(VLOOKUP($B780,[1]INV!$B$7:$H$2575,7,0),"")</f>
        <v/>
      </c>
      <c r="J780" s="10" t="s">
        <v>7</v>
      </c>
      <c r="K780" s="10" t="s">
        <v>7</v>
      </c>
      <c r="L780" s="10"/>
      <c r="M780" s="10" t="str">
        <f>IFERROR(VLOOKUP($B780,[1]INV!$B$7:$H$2575,7,0),"")</f>
        <v/>
      </c>
      <c r="N780" s="10"/>
      <c r="O780" s="10"/>
      <c r="P780" s="10"/>
      <c r="Q780" s="10"/>
      <c r="R780" s="10"/>
      <c r="S780" s="10"/>
      <c r="T780" s="10"/>
      <c r="V780" s="1" t="str">
        <f t="shared" si="45"/>
        <v/>
      </c>
      <c r="W780" s="1" t="str">
        <f t="shared" si="46"/>
        <v/>
      </c>
      <c r="X780" s="1" t="str">
        <f t="shared" si="47"/>
        <v/>
      </c>
    </row>
    <row r="781" spans="2:24" x14ac:dyDescent="0.25">
      <c r="B781" s="11">
        <f>[1]code!B778</f>
        <v>0</v>
      </c>
      <c r="C781" s="2">
        <f>[1]code!C778</f>
        <v>0</v>
      </c>
      <c r="D781" s="2">
        <f>[1]code!D778</f>
        <v>0</v>
      </c>
      <c r="E781" s="1">
        <f>[1]code!E778</f>
        <v>0</v>
      </c>
      <c r="F781" s="2">
        <f>[1]code!F778</f>
        <v>0</v>
      </c>
      <c r="G781" s="12">
        <f>[1]code!G778</f>
        <v>0</v>
      </c>
      <c r="I781" s="10" t="str">
        <f>IFERROR(VLOOKUP($B781,[1]INV!$B$7:$H$2575,7,0),"")</f>
        <v/>
      </c>
      <c r="J781" s="10" t="s">
        <v>7</v>
      </c>
      <c r="K781" s="10" t="s">
        <v>7</v>
      </c>
      <c r="L781" s="10"/>
      <c r="M781" s="10" t="str">
        <f>IFERROR(VLOOKUP($B781,[1]INV!$B$7:$H$2575,7,0),"")</f>
        <v/>
      </c>
      <c r="N781" s="10"/>
      <c r="O781" s="10"/>
      <c r="P781" s="10"/>
      <c r="Q781" s="10"/>
      <c r="R781" s="10"/>
      <c r="S781" s="10"/>
      <c r="T781" s="10"/>
      <c r="V781" s="1" t="str">
        <f t="shared" si="45"/>
        <v/>
      </c>
      <c r="W781" s="1" t="str">
        <f t="shared" si="46"/>
        <v/>
      </c>
      <c r="X781" s="1" t="str">
        <f t="shared" si="47"/>
        <v/>
      </c>
    </row>
    <row r="782" spans="2:24" x14ac:dyDescent="0.25">
      <c r="B782" s="11">
        <f>[1]code!B779</f>
        <v>0</v>
      </c>
      <c r="C782" s="2">
        <f>[1]code!C779</f>
        <v>0</v>
      </c>
      <c r="D782" s="2">
        <f>[1]code!D779</f>
        <v>0</v>
      </c>
      <c r="E782" s="1">
        <f>[1]code!E779</f>
        <v>0</v>
      </c>
      <c r="F782" s="2">
        <f>[1]code!F779</f>
        <v>0</v>
      </c>
      <c r="G782" s="12">
        <f>[1]code!G779</f>
        <v>0</v>
      </c>
      <c r="I782" s="10" t="str">
        <f>IFERROR(VLOOKUP($B782,[1]INV!$B$7:$H$2575,7,0),"")</f>
        <v/>
      </c>
      <c r="J782" s="10" t="s">
        <v>7</v>
      </c>
      <c r="K782" s="10" t="s">
        <v>7</v>
      </c>
      <c r="L782" s="10"/>
      <c r="M782" s="10" t="str">
        <f>IFERROR(VLOOKUP($B782,[1]INV!$B$7:$H$2575,7,0),"")</f>
        <v/>
      </c>
      <c r="N782" s="10"/>
      <c r="O782" s="10"/>
      <c r="P782" s="10"/>
      <c r="Q782" s="10"/>
      <c r="R782" s="10"/>
      <c r="S782" s="10"/>
      <c r="T782" s="10"/>
      <c r="V782" s="1" t="str">
        <f t="shared" si="45"/>
        <v/>
      </c>
      <c r="W782" s="1" t="str">
        <f t="shared" si="46"/>
        <v/>
      </c>
      <c r="X782" s="1" t="str">
        <f t="shared" si="47"/>
        <v/>
      </c>
    </row>
    <row r="783" spans="2:24" x14ac:dyDescent="0.25">
      <c r="B783" s="11">
        <f>[1]code!B780</f>
        <v>0</v>
      </c>
      <c r="C783" s="2">
        <f>[1]code!C780</f>
        <v>0</v>
      </c>
      <c r="D783" s="2">
        <f>[1]code!D780</f>
        <v>0</v>
      </c>
      <c r="E783" s="1">
        <f>[1]code!E780</f>
        <v>0</v>
      </c>
      <c r="F783" s="2">
        <f>[1]code!F780</f>
        <v>0</v>
      </c>
      <c r="G783" s="12">
        <f>[1]code!G780</f>
        <v>0</v>
      </c>
      <c r="I783" s="10" t="str">
        <f>IFERROR(VLOOKUP($B783,[1]INV!$B$7:$H$2575,7,0),"")</f>
        <v/>
      </c>
      <c r="J783" s="10" t="s">
        <v>7</v>
      </c>
      <c r="K783" s="10" t="s">
        <v>7</v>
      </c>
      <c r="L783" s="10"/>
      <c r="M783" s="10" t="str">
        <f>IFERROR(VLOOKUP($B783,[1]INV!$B$7:$H$2575,7,0),"")</f>
        <v/>
      </c>
      <c r="N783" s="10"/>
      <c r="O783" s="10"/>
      <c r="P783" s="10"/>
      <c r="Q783" s="10"/>
      <c r="R783" s="10"/>
      <c r="S783" s="10"/>
      <c r="T783" s="10"/>
      <c r="V783" s="1" t="str">
        <f t="shared" si="45"/>
        <v/>
      </c>
      <c r="W783" s="1" t="str">
        <f t="shared" si="46"/>
        <v/>
      </c>
      <c r="X783" s="1" t="str">
        <f t="shared" si="47"/>
        <v/>
      </c>
    </row>
    <row r="784" spans="2:24" x14ac:dyDescent="0.25">
      <c r="B784" s="11">
        <f>[1]code!B781</f>
        <v>0</v>
      </c>
      <c r="C784" s="2">
        <f>[1]code!C781</f>
        <v>0</v>
      </c>
      <c r="D784" s="2">
        <f>[1]code!D781</f>
        <v>0</v>
      </c>
      <c r="E784" s="1">
        <f>[1]code!E781</f>
        <v>0</v>
      </c>
      <c r="F784" s="2">
        <f>[1]code!F781</f>
        <v>0</v>
      </c>
      <c r="G784" s="12">
        <f>[1]code!G781</f>
        <v>0</v>
      </c>
      <c r="I784" s="10" t="str">
        <f>IFERROR(VLOOKUP($B784,[1]INV!$B$7:$H$2575,7,0),"")</f>
        <v/>
      </c>
      <c r="J784" s="10" t="s">
        <v>7</v>
      </c>
      <c r="K784" s="10" t="s">
        <v>7</v>
      </c>
      <c r="L784" s="10"/>
      <c r="M784" s="10" t="str">
        <f>IFERROR(VLOOKUP($B784,[1]INV!$B$7:$H$2575,7,0),"")</f>
        <v/>
      </c>
      <c r="N784" s="10"/>
      <c r="O784" s="10"/>
      <c r="P784" s="10"/>
      <c r="Q784" s="10"/>
      <c r="R784" s="10"/>
      <c r="S784" s="10"/>
      <c r="T784" s="10"/>
      <c r="V784" s="1" t="str">
        <f t="shared" si="45"/>
        <v/>
      </c>
      <c r="W784" s="1" t="str">
        <f t="shared" si="46"/>
        <v/>
      </c>
      <c r="X784" s="1" t="str">
        <f t="shared" si="47"/>
        <v/>
      </c>
    </row>
    <row r="785" spans="2:24" x14ac:dyDescent="0.25">
      <c r="B785" s="11">
        <f>[1]code!B782</f>
        <v>0</v>
      </c>
      <c r="C785" s="2">
        <f>[1]code!C782</f>
        <v>0</v>
      </c>
      <c r="D785" s="2">
        <f>[1]code!D782</f>
        <v>0</v>
      </c>
      <c r="E785" s="1">
        <f>[1]code!E782</f>
        <v>0</v>
      </c>
      <c r="F785" s="2">
        <f>[1]code!F782</f>
        <v>0</v>
      </c>
      <c r="G785" s="12">
        <f>[1]code!G782</f>
        <v>0</v>
      </c>
      <c r="I785" s="10" t="str">
        <f>IFERROR(VLOOKUP($B785,[1]INV!$B$7:$H$2575,7,0),"")</f>
        <v/>
      </c>
      <c r="J785" s="10" t="s">
        <v>7</v>
      </c>
      <c r="K785" s="10" t="s">
        <v>7</v>
      </c>
      <c r="L785" s="10"/>
      <c r="M785" s="10" t="str">
        <f>IFERROR(VLOOKUP($B785,[1]INV!$B$7:$H$2575,7,0),"")</f>
        <v/>
      </c>
      <c r="N785" s="10"/>
      <c r="O785" s="10"/>
      <c r="P785" s="10"/>
      <c r="Q785" s="10"/>
      <c r="R785" s="10"/>
      <c r="S785" s="10"/>
      <c r="T785" s="10"/>
      <c r="V785" s="1" t="str">
        <f t="shared" si="45"/>
        <v/>
      </c>
      <c r="W785" s="1" t="str">
        <f t="shared" si="46"/>
        <v/>
      </c>
      <c r="X785" s="1" t="str">
        <f t="shared" si="47"/>
        <v/>
      </c>
    </row>
    <row r="786" spans="2:24" x14ac:dyDescent="0.25">
      <c r="B786" s="11">
        <f>[1]code!B783</f>
        <v>0</v>
      </c>
      <c r="C786" s="2">
        <f>[1]code!C783</f>
        <v>0</v>
      </c>
      <c r="D786" s="2">
        <f>[1]code!D783</f>
        <v>0</v>
      </c>
      <c r="E786" s="1">
        <f>[1]code!E783</f>
        <v>0</v>
      </c>
      <c r="F786" s="2">
        <f>[1]code!F783</f>
        <v>0</v>
      </c>
      <c r="G786" s="12">
        <f>[1]code!G783</f>
        <v>0</v>
      </c>
      <c r="I786" s="10" t="str">
        <f>IFERROR(VLOOKUP($B786,[1]INV!$B$7:$H$2575,7,0),"")</f>
        <v/>
      </c>
      <c r="J786" s="10" t="s">
        <v>7</v>
      </c>
      <c r="K786" s="10" t="s">
        <v>7</v>
      </c>
      <c r="L786" s="10"/>
      <c r="M786" s="10" t="str">
        <f>IFERROR(VLOOKUP($B786,[1]INV!$B$7:$H$2575,7,0),"")</f>
        <v/>
      </c>
      <c r="N786" s="10"/>
      <c r="O786" s="10"/>
      <c r="P786" s="10"/>
      <c r="Q786" s="10"/>
      <c r="R786" s="10"/>
      <c r="S786" s="10"/>
      <c r="T786" s="10"/>
      <c r="V786" s="1" t="str">
        <f t="shared" si="45"/>
        <v/>
      </c>
      <c r="W786" s="1" t="str">
        <f t="shared" si="46"/>
        <v/>
      </c>
      <c r="X786" s="1" t="str">
        <f t="shared" si="47"/>
        <v/>
      </c>
    </row>
    <row r="787" spans="2:24" x14ac:dyDescent="0.25">
      <c r="B787" s="11">
        <f>[1]code!B784</f>
        <v>0</v>
      </c>
      <c r="C787" s="2">
        <f>[1]code!C784</f>
        <v>0</v>
      </c>
      <c r="D787" s="2">
        <f>[1]code!D784</f>
        <v>0</v>
      </c>
      <c r="E787" s="1">
        <f>[1]code!E784</f>
        <v>0</v>
      </c>
      <c r="F787" s="2">
        <f>[1]code!F784</f>
        <v>0</v>
      </c>
      <c r="G787" s="12">
        <f>[1]code!G784</f>
        <v>0</v>
      </c>
      <c r="I787" s="10" t="str">
        <f>IFERROR(VLOOKUP($B787,[1]INV!$B$7:$H$2575,7,0),"")</f>
        <v/>
      </c>
      <c r="J787" s="10" t="s">
        <v>7</v>
      </c>
      <c r="K787" s="10" t="s">
        <v>7</v>
      </c>
      <c r="L787" s="10"/>
      <c r="M787" s="10" t="str">
        <f>IFERROR(VLOOKUP($B787,[1]INV!$B$7:$H$2575,7,0),"")</f>
        <v/>
      </c>
      <c r="N787" s="10"/>
      <c r="O787" s="10"/>
      <c r="P787" s="10"/>
      <c r="Q787" s="10"/>
      <c r="R787" s="10"/>
      <c r="S787" s="10"/>
      <c r="T787" s="10"/>
      <c r="V787" s="1" t="str">
        <f t="shared" si="45"/>
        <v/>
      </c>
      <c r="W787" s="1" t="str">
        <f t="shared" si="46"/>
        <v/>
      </c>
      <c r="X787" s="1" t="str">
        <f t="shared" si="47"/>
        <v/>
      </c>
    </row>
    <row r="788" spans="2:24" x14ac:dyDescent="0.25">
      <c r="B788" s="11">
        <f>[1]code!B785</f>
        <v>0</v>
      </c>
      <c r="C788" s="2">
        <f>[1]code!C785</f>
        <v>0</v>
      </c>
      <c r="D788" s="2">
        <f>[1]code!D785</f>
        <v>0</v>
      </c>
      <c r="E788" s="1">
        <f>[1]code!E785</f>
        <v>0</v>
      </c>
      <c r="F788" s="2">
        <f>[1]code!F785</f>
        <v>0</v>
      </c>
      <c r="G788" s="12">
        <f>[1]code!G785</f>
        <v>0</v>
      </c>
      <c r="I788" s="10" t="str">
        <f>IFERROR(VLOOKUP($B788,[1]INV!$B$7:$H$2575,7,0),"")</f>
        <v/>
      </c>
      <c r="J788" s="10" t="s">
        <v>7</v>
      </c>
      <c r="K788" s="10" t="s">
        <v>7</v>
      </c>
      <c r="L788" s="10"/>
      <c r="M788" s="10" t="str">
        <f>IFERROR(VLOOKUP($B788,[1]INV!$B$7:$H$2575,7,0),"")</f>
        <v/>
      </c>
      <c r="N788" s="10"/>
      <c r="O788" s="10"/>
      <c r="P788" s="10"/>
      <c r="Q788" s="10"/>
      <c r="R788" s="10"/>
      <c r="S788" s="10"/>
      <c r="T788" s="10"/>
      <c r="V788" s="1" t="str">
        <f t="shared" si="45"/>
        <v/>
      </c>
      <c r="W788" s="1" t="str">
        <f t="shared" si="46"/>
        <v/>
      </c>
      <c r="X788" s="1" t="str">
        <f t="shared" si="47"/>
        <v/>
      </c>
    </row>
    <row r="789" spans="2:24" x14ac:dyDescent="0.25">
      <c r="B789" s="11">
        <f>[1]code!B786</f>
        <v>0</v>
      </c>
      <c r="C789" s="2">
        <f>[1]code!C786</f>
        <v>0</v>
      </c>
      <c r="D789" s="2">
        <f>[1]code!D786</f>
        <v>0</v>
      </c>
      <c r="E789" s="1">
        <f>[1]code!E786</f>
        <v>0</v>
      </c>
      <c r="F789" s="2">
        <f>[1]code!F786</f>
        <v>0</v>
      </c>
      <c r="G789" s="12">
        <f>[1]code!G786</f>
        <v>0</v>
      </c>
      <c r="I789" s="10" t="str">
        <f>IFERROR(VLOOKUP($B789,[1]INV!$B$7:$H$2575,7,0),"")</f>
        <v/>
      </c>
      <c r="J789" s="10" t="s">
        <v>7</v>
      </c>
      <c r="K789" s="10" t="s">
        <v>7</v>
      </c>
      <c r="L789" s="10"/>
      <c r="M789" s="10" t="str">
        <f>IFERROR(VLOOKUP($B789,[1]INV!$B$7:$H$2575,7,0),"")</f>
        <v/>
      </c>
      <c r="N789" s="10"/>
      <c r="O789" s="10"/>
      <c r="P789" s="10"/>
      <c r="Q789" s="10"/>
      <c r="R789" s="10"/>
      <c r="S789" s="10"/>
      <c r="T789" s="10"/>
      <c r="V789" s="1" t="str">
        <f t="shared" si="45"/>
        <v/>
      </c>
      <c r="W789" s="1" t="str">
        <f t="shared" si="46"/>
        <v/>
      </c>
      <c r="X789" s="1" t="str">
        <f t="shared" si="47"/>
        <v/>
      </c>
    </row>
    <row r="790" spans="2:24" x14ac:dyDescent="0.25">
      <c r="B790" s="11">
        <f>[1]code!B787</f>
        <v>0</v>
      </c>
      <c r="C790" s="2">
        <f>[1]code!C787</f>
        <v>0</v>
      </c>
      <c r="D790" s="2">
        <f>[1]code!D787</f>
        <v>0</v>
      </c>
      <c r="E790" s="1">
        <f>[1]code!E787</f>
        <v>0</v>
      </c>
      <c r="F790" s="2">
        <f>[1]code!F787</f>
        <v>0</v>
      </c>
      <c r="G790" s="12">
        <f>[1]code!G787</f>
        <v>0</v>
      </c>
      <c r="I790" s="10" t="str">
        <f>IFERROR(VLOOKUP($B790,[1]INV!$B$7:$H$2575,7,0),"")</f>
        <v/>
      </c>
      <c r="J790" s="10" t="s">
        <v>7</v>
      </c>
      <c r="K790" s="10" t="s">
        <v>7</v>
      </c>
      <c r="L790" s="10"/>
      <c r="M790" s="10" t="str">
        <f>IFERROR(VLOOKUP($B790,[1]INV!$B$7:$H$2575,7,0),"")</f>
        <v/>
      </c>
      <c r="N790" s="10"/>
      <c r="O790" s="10"/>
      <c r="P790" s="10"/>
      <c r="Q790" s="10"/>
      <c r="R790" s="10"/>
      <c r="S790" s="10"/>
      <c r="T790" s="10"/>
      <c r="V790" s="1" t="str">
        <f t="shared" si="45"/>
        <v/>
      </c>
      <c r="W790" s="1" t="str">
        <f t="shared" si="46"/>
        <v/>
      </c>
      <c r="X790" s="1" t="str">
        <f t="shared" si="47"/>
        <v/>
      </c>
    </row>
    <row r="791" spans="2:24" x14ac:dyDescent="0.25">
      <c r="B791" s="11">
        <f>[1]code!B788</f>
        <v>0</v>
      </c>
      <c r="C791" s="2">
        <f>[1]code!C788</f>
        <v>0</v>
      </c>
      <c r="D791" s="2">
        <f>[1]code!D788</f>
        <v>0</v>
      </c>
      <c r="E791" s="1">
        <f>[1]code!E788</f>
        <v>0</v>
      </c>
      <c r="F791" s="2">
        <f>[1]code!F788</f>
        <v>0</v>
      </c>
      <c r="G791" s="12">
        <f>[1]code!G788</f>
        <v>0</v>
      </c>
      <c r="I791" s="10" t="str">
        <f>IFERROR(VLOOKUP($B791,[1]INV!$B$7:$H$2575,7,0),"")</f>
        <v/>
      </c>
      <c r="J791" s="10" t="s">
        <v>7</v>
      </c>
      <c r="K791" s="10" t="s">
        <v>7</v>
      </c>
      <c r="L791" s="10"/>
      <c r="M791" s="10" t="str">
        <f>IFERROR(VLOOKUP($B791,[1]INV!$B$7:$H$2575,7,0),"")</f>
        <v/>
      </c>
      <c r="N791" s="10"/>
      <c r="O791" s="10"/>
      <c r="P791" s="10"/>
      <c r="Q791" s="10"/>
      <c r="R791" s="10"/>
      <c r="S791" s="10"/>
      <c r="T791" s="10"/>
      <c r="V791" s="1" t="str">
        <f t="shared" si="45"/>
        <v/>
      </c>
      <c r="W791" s="1" t="str">
        <f t="shared" si="46"/>
        <v/>
      </c>
      <c r="X791" s="1" t="str">
        <f t="shared" si="47"/>
        <v/>
      </c>
    </row>
    <row r="792" spans="2:24" x14ac:dyDescent="0.25">
      <c r="B792" s="11">
        <f>[1]code!B789</f>
        <v>0</v>
      </c>
      <c r="C792" s="2">
        <f>[1]code!C789</f>
        <v>0</v>
      </c>
      <c r="D792" s="2">
        <f>[1]code!D789</f>
        <v>0</v>
      </c>
      <c r="E792" s="1">
        <f>[1]code!E789</f>
        <v>0</v>
      </c>
      <c r="F792" s="2">
        <f>[1]code!F789</f>
        <v>0</v>
      </c>
      <c r="G792" s="12">
        <f>[1]code!G789</f>
        <v>0</v>
      </c>
      <c r="I792" s="10" t="str">
        <f>IFERROR(VLOOKUP($B792,[1]INV!$B$7:$H$2575,7,0),"")</f>
        <v/>
      </c>
      <c r="J792" s="10" t="s">
        <v>7</v>
      </c>
      <c r="K792" s="10" t="s">
        <v>7</v>
      </c>
      <c r="L792" s="10"/>
      <c r="M792" s="10" t="str">
        <f>IFERROR(VLOOKUP($B792,[1]INV!$B$7:$H$2575,7,0),"")</f>
        <v/>
      </c>
      <c r="N792" s="10"/>
      <c r="O792" s="10"/>
      <c r="P792" s="10"/>
      <c r="Q792" s="10"/>
      <c r="R792" s="10"/>
      <c r="S792" s="10"/>
      <c r="T792" s="10"/>
      <c r="V792" s="1" t="str">
        <f t="shared" si="45"/>
        <v/>
      </c>
      <c r="W792" s="1" t="str">
        <f t="shared" si="46"/>
        <v/>
      </c>
      <c r="X792" s="1" t="str">
        <f t="shared" si="47"/>
        <v/>
      </c>
    </row>
    <row r="793" spans="2:24" x14ac:dyDescent="0.25">
      <c r="B793" s="11">
        <f>[1]code!B790</f>
        <v>0</v>
      </c>
      <c r="C793" s="2">
        <f>[1]code!C790</f>
        <v>0</v>
      </c>
      <c r="D793" s="2">
        <f>[1]code!D790</f>
        <v>0</v>
      </c>
      <c r="E793" s="1">
        <f>[1]code!E790</f>
        <v>0</v>
      </c>
      <c r="F793" s="2">
        <f>[1]code!F790</f>
        <v>0</v>
      </c>
      <c r="G793" s="12">
        <f>[1]code!G790</f>
        <v>0</v>
      </c>
      <c r="I793" s="10" t="str">
        <f>IFERROR(VLOOKUP($B793,[1]INV!$B$7:$H$2575,7,0),"")</f>
        <v/>
      </c>
      <c r="J793" s="10" t="s">
        <v>7</v>
      </c>
      <c r="K793" s="10" t="s">
        <v>7</v>
      </c>
      <c r="L793" s="10"/>
      <c r="M793" s="10" t="str">
        <f>IFERROR(VLOOKUP($B793,[1]INV!$B$7:$H$2575,7,0),"")</f>
        <v/>
      </c>
      <c r="N793" s="10"/>
      <c r="O793" s="10"/>
      <c r="P793" s="10"/>
      <c r="Q793" s="10"/>
      <c r="R793" s="10"/>
      <c r="S793" s="10"/>
      <c r="T793" s="10"/>
      <c r="V793" s="1" t="str">
        <f t="shared" si="45"/>
        <v/>
      </c>
      <c r="W793" s="1" t="str">
        <f t="shared" si="46"/>
        <v/>
      </c>
      <c r="X793" s="1" t="str">
        <f t="shared" si="47"/>
        <v/>
      </c>
    </row>
    <row r="794" spans="2:24" x14ac:dyDescent="0.25">
      <c r="B794" s="11">
        <f>[1]code!B791</f>
        <v>0</v>
      </c>
      <c r="C794" s="2">
        <f>[1]code!C791</f>
        <v>0</v>
      </c>
      <c r="D794" s="2">
        <f>[1]code!D791</f>
        <v>0</v>
      </c>
      <c r="E794" s="1">
        <f>[1]code!E791</f>
        <v>0</v>
      </c>
      <c r="F794" s="2">
        <f>[1]code!F791</f>
        <v>0</v>
      </c>
      <c r="G794" s="12">
        <f>[1]code!G791</f>
        <v>0</v>
      </c>
      <c r="I794" s="10" t="str">
        <f>IFERROR(VLOOKUP($B794,[1]INV!$B$7:$H$2575,7,0),"")</f>
        <v/>
      </c>
      <c r="J794" s="10" t="s">
        <v>7</v>
      </c>
      <c r="K794" s="10" t="s">
        <v>7</v>
      </c>
      <c r="L794" s="10"/>
      <c r="M794" s="10" t="str">
        <f>IFERROR(VLOOKUP($B794,[1]INV!$B$7:$H$2575,7,0),"")</f>
        <v/>
      </c>
      <c r="N794" s="10"/>
      <c r="O794" s="10"/>
      <c r="P794" s="10"/>
      <c r="Q794" s="10"/>
      <c r="R794" s="10"/>
      <c r="S794" s="10"/>
      <c r="T794" s="10"/>
      <c r="V794" s="1" t="str">
        <f t="shared" si="45"/>
        <v/>
      </c>
      <c r="W794" s="1" t="str">
        <f t="shared" si="46"/>
        <v/>
      </c>
      <c r="X794" s="1" t="str">
        <f t="shared" si="47"/>
        <v/>
      </c>
    </row>
    <row r="795" spans="2:24" x14ac:dyDescent="0.25">
      <c r="B795" s="11">
        <f>[1]code!B792</f>
        <v>0</v>
      </c>
      <c r="C795" s="2">
        <f>[1]code!C792</f>
        <v>0</v>
      </c>
      <c r="D795" s="2">
        <f>[1]code!D792</f>
        <v>0</v>
      </c>
      <c r="E795" s="1">
        <f>[1]code!E792</f>
        <v>0</v>
      </c>
      <c r="F795" s="2">
        <f>[1]code!F792</f>
        <v>0</v>
      </c>
      <c r="G795" s="12">
        <f>[1]code!G792</f>
        <v>0</v>
      </c>
      <c r="I795" s="10" t="str">
        <f>IFERROR(VLOOKUP($B795,[1]INV!$B$7:$H$2575,7,0),"")</f>
        <v/>
      </c>
      <c r="J795" s="10" t="s">
        <v>7</v>
      </c>
      <c r="K795" s="10" t="s">
        <v>7</v>
      </c>
      <c r="L795" s="10"/>
      <c r="M795" s="10" t="str">
        <f>IFERROR(VLOOKUP($B795,[1]INV!$B$7:$H$2575,7,0),"")</f>
        <v/>
      </c>
      <c r="N795" s="10"/>
      <c r="O795" s="10"/>
      <c r="P795" s="10"/>
      <c r="Q795" s="10"/>
      <c r="R795" s="10"/>
      <c r="S795" s="10"/>
      <c r="T795" s="10"/>
      <c r="V795" s="1" t="str">
        <f t="shared" si="45"/>
        <v/>
      </c>
      <c r="W795" s="1" t="str">
        <f t="shared" si="46"/>
        <v/>
      </c>
      <c r="X795" s="1" t="str">
        <f t="shared" si="47"/>
        <v/>
      </c>
    </row>
    <row r="796" spans="2:24" x14ac:dyDescent="0.25">
      <c r="B796" s="11">
        <f>[1]code!B793</f>
        <v>0</v>
      </c>
      <c r="C796" s="2">
        <f>[1]code!C793</f>
        <v>0</v>
      </c>
      <c r="D796" s="2">
        <f>[1]code!D793</f>
        <v>0</v>
      </c>
      <c r="E796" s="1">
        <f>[1]code!E793</f>
        <v>0</v>
      </c>
      <c r="F796" s="2">
        <f>[1]code!F793</f>
        <v>0</v>
      </c>
      <c r="G796" s="12">
        <f>[1]code!G793</f>
        <v>0</v>
      </c>
      <c r="I796" s="10" t="str">
        <f>IFERROR(VLOOKUP($B796,[1]INV!$B$7:$H$2575,7,0),"")</f>
        <v/>
      </c>
      <c r="J796" s="10" t="s">
        <v>7</v>
      </c>
      <c r="K796" s="10" t="s">
        <v>7</v>
      </c>
      <c r="L796" s="10"/>
      <c r="M796" s="10" t="str">
        <f>IFERROR(VLOOKUP($B796,[1]INV!$B$7:$H$2575,7,0),"")</f>
        <v/>
      </c>
      <c r="N796" s="10"/>
      <c r="O796" s="10"/>
      <c r="P796" s="10"/>
      <c r="Q796" s="10"/>
      <c r="R796" s="10"/>
      <c r="S796" s="10"/>
      <c r="T796" s="10"/>
      <c r="V796" s="1" t="str">
        <f t="shared" si="45"/>
        <v/>
      </c>
      <c r="W796" s="1" t="str">
        <f t="shared" si="46"/>
        <v/>
      </c>
      <c r="X796" s="1" t="str">
        <f t="shared" si="47"/>
        <v/>
      </c>
    </row>
    <row r="797" spans="2:24" x14ac:dyDescent="0.25">
      <c r="B797" s="11">
        <f>[1]code!B794</f>
        <v>0</v>
      </c>
      <c r="C797" s="2">
        <f>[1]code!C794</f>
        <v>0</v>
      </c>
      <c r="D797" s="2">
        <f>[1]code!D794</f>
        <v>0</v>
      </c>
      <c r="E797" s="1">
        <f>[1]code!E794</f>
        <v>0</v>
      </c>
      <c r="F797" s="2">
        <f>[1]code!F794</f>
        <v>0</v>
      </c>
      <c r="G797" s="12">
        <f>[1]code!G794</f>
        <v>0</v>
      </c>
      <c r="I797" s="10" t="str">
        <f>IFERROR(VLOOKUP($B797,[1]INV!$B$7:$H$2575,7,0),"")</f>
        <v/>
      </c>
      <c r="J797" s="10" t="s">
        <v>7</v>
      </c>
      <c r="K797" s="10" t="s">
        <v>7</v>
      </c>
      <c r="L797" s="10"/>
      <c r="M797" s="10" t="str">
        <f>IFERROR(VLOOKUP($B797,[1]INV!$B$7:$H$2575,7,0),"")</f>
        <v/>
      </c>
      <c r="N797" s="10"/>
      <c r="O797" s="10"/>
      <c r="P797" s="10"/>
      <c r="Q797" s="10"/>
      <c r="R797" s="10"/>
      <c r="S797" s="10"/>
      <c r="T797" s="10"/>
      <c r="V797" s="1" t="str">
        <f t="shared" si="45"/>
        <v/>
      </c>
      <c r="W797" s="1" t="str">
        <f t="shared" si="46"/>
        <v/>
      </c>
      <c r="X797" s="1" t="str">
        <f t="shared" si="47"/>
        <v/>
      </c>
    </row>
    <row r="798" spans="2:24" x14ac:dyDescent="0.25">
      <c r="B798" s="11">
        <f>[1]code!B795</f>
        <v>0</v>
      </c>
      <c r="C798" s="2">
        <f>[1]code!C795</f>
        <v>0</v>
      </c>
      <c r="D798" s="2">
        <f>[1]code!D795</f>
        <v>0</v>
      </c>
      <c r="E798" s="1">
        <f>[1]code!E795</f>
        <v>0</v>
      </c>
      <c r="F798" s="2">
        <f>[1]code!F795</f>
        <v>0</v>
      </c>
      <c r="G798" s="12">
        <f>[1]code!G795</f>
        <v>0</v>
      </c>
      <c r="I798" s="10" t="str">
        <f>IFERROR(VLOOKUP($B798,[1]INV!$B$7:$H$2575,7,0),"")</f>
        <v/>
      </c>
      <c r="J798" s="10" t="s">
        <v>7</v>
      </c>
      <c r="K798" s="10" t="s">
        <v>7</v>
      </c>
      <c r="L798" s="10"/>
      <c r="M798" s="10" t="str">
        <f>IFERROR(VLOOKUP($B798,[1]INV!$B$7:$H$2575,7,0),"")</f>
        <v/>
      </c>
      <c r="N798" s="10"/>
      <c r="O798" s="10"/>
      <c r="P798" s="10"/>
      <c r="Q798" s="10"/>
      <c r="R798" s="10"/>
      <c r="S798" s="10"/>
      <c r="T798" s="10"/>
      <c r="V798" s="1" t="str">
        <f t="shared" si="45"/>
        <v/>
      </c>
      <c r="W798" s="1" t="str">
        <f t="shared" si="46"/>
        <v/>
      </c>
      <c r="X798" s="1" t="str">
        <f t="shared" si="47"/>
        <v/>
      </c>
    </row>
    <row r="799" spans="2:24" x14ac:dyDescent="0.25">
      <c r="B799" s="11">
        <f>[1]code!B796</f>
        <v>0</v>
      </c>
      <c r="C799" s="2">
        <f>[1]code!C796</f>
        <v>0</v>
      </c>
      <c r="D799" s="2">
        <f>[1]code!D796</f>
        <v>0</v>
      </c>
      <c r="E799" s="1">
        <f>[1]code!E796</f>
        <v>0</v>
      </c>
      <c r="F799" s="2">
        <f>[1]code!F796</f>
        <v>0</v>
      </c>
      <c r="G799" s="12">
        <f>[1]code!G796</f>
        <v>0</v>
      </c>
      <c r="I799" s="10" t="str">
        <f>IFERROR(VLOOKUP($B799,[1]INV!$B$7:$H$2575,7,0),"")</f>
        <v/>
      </c>
      <c r="J799" s="10" t="s">
        <v>7</v>
      </c>
      <c r="K799" s="10" t="s">
        <v>7</v>
      </c>
      <c r="L799" s="10"/>
      <c r="M799" s="10" t="str">
        <f>IFERROR(VLOOKUP($B799,[1]INV!$B$7:$H$2575,7,0),"")</f>
        <v/>
      </c>
      <c r="N799" s="10"/>
      <c r="O799" s="10"/>
      <c r="P799" s="10"/>
      <c r="Q799" s="10"/>
      <c r="R799" s="10"/>
      <c r="S799" s="10"/>
      <c r="T799" s="10"/>
      <c r="V799" s="1" t="str">
        <f t="shared" si="45"/>
        <v/>
      </c>
      <c r="W799" s="1" t="str">
        <f t="shared" si="46"/>
        <v/>
      </c>
      <c r="X799" s="1" t="str">
        <f t="shared" si="47"/>
        <v/>
      </c>
    </row>
    <row r="800" spans="2:24" x14ac:dyDescent="0.25">
      <c r="B800" s="11">
        <f>[1]code!B797</f>
        <v>0</v>
      </c>
      <c r="C800" s="2">
        <f>[1]code!C797</f>
        <v>0</v>
      </c>
      <c r="D800" s="2">
        <f>[1]code!D797</f>
        <v>0</v>
      </c>
      <c r="E800" s="1">
        <f>[1]code!E797</f>
        <v>0</v>
      </c>
      <c r="F800" s="2">
        <f>[1]code!F797</f>
        <v>0</v>
      </c>
      <c r="G800" s="12">
        <f>[1]code!G797</f>
        <v>0</v>
      </c>
      <c r="I800" s="10" t="str">
        <f>IFERROR(VLOOKUP($B800,[1]INV!$B$7:$H$2575,7,0),"")</f>
        <v/>
      </c>
      <c r="J800" s="10" t="s">
        <v>7</v>
      </c>
      <c r="K800" s="10" t="s">
        <v>7</v>
      </c>
      <c r="L800" s="10"/>
      <c r="M800" s="10" t="str">
        <f>IFERROR(VLOOKUP($B800,[1]INV!$B$7:$H$2575,7,0),"")</f>
        <v/>
      </c>
      <c r="N800" s="10"/>
      <c r="O800" s="10"/>
      <c r="P800" s="10"/>
      <c r="Q800" s="10"/>
      <c r="R800" s="10"/>
      <c r="S800" s="10"/>
      <c r="T800" s="10"/>
      <c r="V800" s="1" t="str">
        <f t="shared" si="45"/>
        <v/>
      </c>
      <c r="W800" s="1" t="str">
        <f t="shared" si="46"/>
        <v/>
      </c>
      <c r="X800" s="1" t="str">
        <f t="shared" si="47"/>
        <v/>
      </c>
    </row>
    <row r="801" spans="2:24" x14ac:dyDescent="0.25">
      <c r="B801" s="11">
        <f>[1]code!B798</f>
        <v>0</v>
      </c>
      <c r="C801" s="2">
        <f>[1]code!C798</f>
        <v>0</v>
      </c>
      <c r="D801" s="2">
        <f>[1]code!D798</f>
        <v>0</v>
      </c>
      <c r="E801" s="1">
        <f>[1]code!E798</f>
        <v>0</v>
      </c>
      <c r="F801" s="2">
        <f>[1]code!F798</f>
        <v>0</v>
      </c>
      <c r="G801" s="12">
        <f>[1]code!G798</f>
        <v>0</v>
      </c>
      <c r="I801" s="10" t="str">
        <f>IFERROR(VLOOKUP($B801,[1]INV!$B$7:$H$2575,7,0),"")</f>
        <v/>
      </c>
      <c r="J801" s="10" t="s">
        <v>7</v>
      </c>
      <c r="K801" s="10" t="s">
        <v>7</v>
      </c>
      <c r="L801" s="10"/>
      <c r="M801" s="10" t="str">
        <f>IFERROR(VLOOKUP($B801,[1]INV!$B$7:$H$2575,7,0),"")</f>
        <v/>
      </c>
      <c r="N801" s="10"/>
      <c r="O801" s="10"/>
      <c r="P801" s="10"/>
      <c r="Q801" s="10"/>
      <c r="R801" s="10"/>
      <c r="S801" s="10"/>
      <c r="T801" s="10"/>
      <c r="V801" s="1" t="str">
        <f t="shared" si="45"/>
        <v/>
      </c>
      <c r="W801" s="1" t="str">
        <f t="shared" si="46"/>
        <v/>
      </c>
      <c r="X801" s="1" t="str">
        <f t="shared" si="47"/>
        <v/>
      </c>
    </row>
    <row r="802" spans="2:24" x14ac:dyDescent="0.25">
      <c r="B802" s="11">
        <f>[1]code!B799</f>
        <v>0</v>
      </c>
      <c r="C802" s="2">
        <f>[1]code!C799</f>
        <v>0</v>
      </c>
      <c r="D802" s="2">
        <f>[1]code!D799</f>
        <v>0</v>
      </c>
      <c r="E802" s="1">
        <f>[1]code!E799</f>
        <v>0</v>
      </c>
      <c r="F802" s="2">
        <f>[1]code!F799</f>
        <v>0</v>
      </c>
      <c r="G802" s="12">
        <f>[1]code!G799</f>
        <v>0</v>
      </c>
      <c r="I802" s="10" t="str">
        <f>IFERROR(VLOOKUP($B802,[1]INV!$B$7:$H$2575,7,0),"")</f>
        <v/>
      </c>
      <c r="J802" s="10" t="s">
        <v>7</v>
      </c>
      <c r="K802" s="10" t="s">
        <v>7</v>
      </c>
      <c r="L802" s="10"/>
      <c r="M802" s="10" t="str">
        <f>IFERROR(VLOOKUP($B802,[1]INV!$B$7:$H$2575,7,0),"")</f>
        <v/>
      </c>
      <c r="N802" s="10"/>
      <c r="O802" s="10"/>
      <c r="P802" s="10"/>
      <c r="Q802" s="10"/>
      <c r="R802" s="10"/>
      <c r="S802" s="10"/>
      <c r="T802" s="10"/>
      <c r="V802" s="1" t="str">
        <f t="shared" si="45"/>
        <v/>
      </c>
      <c r="W802" s="1" t="str">
        <f t="shared" si="46"/>
        <v/>
      </c>
      <c r="X802" s="1" t="str">
        <f t="shared" si="47"/>
        <v/>
      </c>
    </row>
    <row r="803" spans="2:24" x14ac:dyDescent="0.25">
      <c r="B803" s="11">
        <f>[1]code!B800</f>
        <v>0</v>
      </c>
      <c r="C803" s="2">
        <f>[1]code!C800</f>
        <v>0</v>
      </c>
      <c r="D803" s="2">
        <f>[1]code!D800</f>
        <v>0</v>
      </c>
      <c r="E803" s="1">
        <f>[1]code!E800</f>
        <v>0</v>
      </c>
      <c r="F803" s="2">
        <f>[1]code!F800</f>
        <v>0</v>
      </c>
      <c r="G803" s="12">
        <f>[1]code!G800</f>
        <v>0</v>
      </c>
      <c r="I803" s="10" t="str">
        <f>IFERROR(VLOOKUP($B803,[1]INV!$B$7:$H$2575,7,0),"")</f>
        <v/>
      </c>
      <c r="J803" s="10" t="s">
        <v>7</v>
      </c>
      <c r="K803" s="10" t="s">
        <v>7</v>
      </c>
      <c r="L803" s="10"/>
      <c r="M803" s="10" t="str">
        <f>IFERROR(VLOOKUP($B803,[1]INV!$B$7:$H$2575,7,0),"")</f>
        <v/>
      </c>
      <c r="N803" s="10"/>
      <c r="O803" s="10"/>
      <c r="P803" s="10"/>
      <c r="Q803" s="10"/>
      <c r="R803" s="10"/>
      <c r="S803" s="10"/>
      <c r="T803" s="10"/>
      <c r="V803" s="1" t="str">
        <f t="shared" si="45"/>
        <v/>
      </c>
      <c r="W803" s="1" t="str">
        <f t="shared" si="46"/>
        <v/>
      </c>
      <c r="X803" s="1" t="str">
        <f t="shared" si="47"/>
        <v/>
      </c>
    </row>
    <row r="804" spans="2:24" x14ac:dyDescent="0.25">
      <c r="B804" s="11">
        <f>[1]code!B801</f>
        <v>0</v>
      </c>
      <c r="C804" s="2">
        <f>[1]code!C801</f>
        <v>0</v>
      </c>
      <c r="D804" s="2">
        <f>[1]code!D801</f>
        <v>0</v>
      </c>
      <c r="E804" s="1">
        <f>[1]code!E801</f>
        <v>0</v>
      </c>
      <c r="F804" s="2">
        <f>[1]code!F801</f>
        <v>0</v>
      </c>
      <c r="G804" s="12">
        <f>[1]code!G801</f>
        <v>0</v>
      </c>
      <c r="I804" s="10" t="str">
        <f>IFERROR(VLOOKUP($B804,[1]INV!$B$7:$H$2575,7,0),"")</f>
        <v/>
      </c>
      <c r="J804" s="10" t="s">
        <v>7</v>
      </c>
      <c r="K804" s="10" t="s">
        <v>7</v>
      </c>
      <c r="L804" s="10"/>
      <c r="M804" s="10" t="str">
        <f>IFERROR(VLOOKUP($B804,[1]INV!$B$7:$H$2575,7,0),"")</f>
        <v/>
      </c>
      <c r="N804" s="10"/>
      <c r="O804" s="10"/>
      <c r="P804" s="10"/>
      <c r="Q804" s="10"/>
      <c r="R804" s="10"/>
      <c r="S804" s="10"/>
      <c r="T804" s="10"/>
      <c r="V804" s="1" t="str">
        <f t="shared" si="45"/>
        <v/>
      </c>
      <c r="W804" s="1" t="str">
        <f t="shared" si="46"/>
        <v/>
      </c>
      <c r="X804" s="1" t="str">
        <f t="shared" si="47"/>
        <v/>
      </c>
    </row>
    <row r="805" spans="2:24" x14ac:dyDescent="0.25">
      <c r="B805" s="11">
        <f>[1]code!B802</f>
        <v>0</v>
      </c>
      <c r="C805" s="2">
        <f>[1]code!C802</f>
        <v>0</v>
      </c>
      <c r="D805" s="2">
        <f>[1]code!D802</f>
        <v>0</v>
      </c>
      <c r="E805" s="1">
        <f>[1]code!E802</f>
        <v>0</v>
      </c>
      <c r="F805" s="2">
        <f>[1]code!F802</f>
        <v>0</v>
      </c>
      <c r="G805" s="12">
        <f>[1]code!G802</f>
        <v>0</v>
      </c>
      <c r="I805" s="10" t="str">
        <f>IFERROR(VLOOKUP($B805,[1]INV!$B$7:$H$2575,7,0),"")</f>
        <v/>
      </c>
      <c r="J805" s="10" t="s">
        <v>7</v>
      </c>
      <c r="K805" s="10" t="s">
        <v>7</v>
      </c>
      <c r="L805" s="10"/>
      <c r="M805" s="10" t="str">
        <f>IFERROR(VLOOKUP($B805,[1]INV!$B$7:$H$2575,7,0),"")</f>
        <v/>
      </c>
      <c r="N805" s="10"/>
      <c r="O805" s="10"/>
      <c r="P805" s="10"/>
      <c r="Q805" s="10"/>
      <c r="R805" s="10"/>
      <c r="S805" s="10"/>
      <c r="T805" s="10"/>
      <c r="V805" s="1" t="str">
        <f t="shared" si="45"/>
        <v/>
      </c>
      <c r="W805" s="1" t="str">
        <f t="shared" si="46"/>
        <v/>
      </c>
      <c r="X805" s="1" t="str">
        <f t="shared" si="47"/>
        <v/>
      </c>
    </row>
    <row r="806" spans="2:24" x14ac:dyDescent="0.25">
      <c r="B806" s="11">
        <f>[1]code!B803</f>
        <v>0</v>
      </c>
      <c r="C806" s="2">
        <f>[1]code!C803</f>
        <v>0</v>
      </c>
      <c r="D806" s="2">
        <f>[1]code!D803</f>
        <v>0</v>
      </c>
      <c r="E806" s="1">
        <f>[1]code!E803</f>
        <v>0</v>
      </c>
      <c r="F806" s="2">
        <f>[1]code!F803</f>
        <v>0</v>
      </c>
      <c r="G806" s="12">
        <f>[1]code!G803</f>
        <v>0</v>
      </c>
      <c r="I806" s="10" t="str">
        <f>IFERROR(VLOOKUP($B806,[1]INV!$B$7:$H$2575,7,0),"")</f>
        <v/>
      </c>
      <c r="J806" s="10" t="s">
        <v>7</v>
      </c>
      <c r="K806" s="10" t="s">
        <v>7</v>
      </c>
      <c r="L806" s="10"/>
      <c r="M806" s="10" t="str">
        <f>IFERROR(VLOOKUP($B806,[1]INV!$B$7:$H$2575,7,0),"")</f>
        <v/>
      </c>
      <c r="N806" s="10"/>
      <c r="O806" s="10"/>
      <c r="P806" s="10"/>
      <c r="Q806" s="10"/>
      <c r="R806" s="10"/>
      <c r="S806" s="10"/>
      <c r="T806" s="10"/>
      <c r="V806" s="1" t="str">
        <f t="shared" si="45"/>
        <v/>
      </c>
      <c r="W806" s="1" t="str">
        <f t="shared" si="46"/>
        <v/>
      </c>
      <c r="X806" s="1" t="str">
        <f t="shared" si="47"/>
        <v/>
      </c>
    </row>
    <row r="807" spans="2:24" x14ac:dyDescent="0.25">
      <c r="B807" s="11">
        <f>[1]code!B804</f>
        <v>0</v>
      </c>
      <c r="C807" s="2">
        <f>[1]code!C804</f>
        <v>0</v>
      </c>
      <c r="D807" s="2">
        <f>[1]code!D804</f>
        <v>0</v>
      </c>
      <c r="E807" s="1">
        <f>[1]code!E804</f>
        <v>0</v>
      </c>
      <c r="F807" s="2">
        <f>[1]code!F804</f>
        <v>0</v>
      </c>
      <c r="G807" s="12">
        <f>[1]code!G804</f>
        <v>0</v>
      </c>
      <c r="I807" s="10" t="str">
        <f>IFERROR(VLOOKUP($B807,[1]INV!$B$7:$H$2575,7,0),"")</f>
        <v/>
      </c>
      <c r="J807" s="10" t="s">
        <v>7</v>
      </c>
      <c r="K807" s="10" t="s">
        <v>7</v>
      </c>
      <c r="L807" s="10"/>
      <c r="M807" s="10" t="str">
        <f>IFERROR(VLOOKUP($B807,[1]INV!$B$7:$H$2575,7,0),"")</f>
        <v/>
      </c>
      <c r="N807" s="10"/>
      <c r="O807" s="10"/>
      <c r="P807" s="10"/>
      <c r="Q807" s="10"/>
      <c r="R807" s="10"/>
      <c r="S807" s="10"/>
      <c r="T807" s="10"/>
      <c r="V807" s="1" t="str">
        <f t="shared" si="45"/>
        <v/>
      </c>
      <c r="W807" s="1" t="str">
        <f t="shared" si="46"/>
        <v/>
      </c>
      <c r="X807" s="1" t="str">
        <f t="shared" si="47"/>
        <v/>
      </c>
    </row>
    <row r="808" spans="2:24" x14ac:dyDescent="0.25">
      <c r="B808" s="11">
        <f>[1]code!B805</f>
        <v>0</v>
      </c>
      <c r="C808" s="2">
        <f>[1]code!C805</f>
        <v>0</v>
      </c>
      <c r="D808" s="2">
        <f>[1]code!D805</f>
        <v>0</v>
      </c>
      <c r="E808" s="1">
        <f>[1]code!E805</f>
        <v>0</v>
      </c>
      <c r="F808" s="2">
        <f>[1]code!F805</f>
        <v>0</v>
      </c>
      <c r="G808" s="12">
        <f>[1]code!G805</f>
        <v>0</v>
      </c>
      <c r="I808" s="10" t="str">
        <f>IFERROR(VLOOKUP($B808,[1]INV!$B$7:$H$2575,7,0),"")</f>
        <v/>
      </c>
      <c r="J808" s="10" t="s">
        <v>7</v>
      </c>
      <c r="K808" s="10" t="s">
        <v>7</v>
      </c>
      <c r="L808" s="10"/>
      <c r="M808" s="10" t="str">
        <f>IFERROR(VLOOKUP($B808,[1]INV!$B$7:$H$2575,7,0),"")</f>
        <v/>
      </c>
      <c r="N808" s="10"/>
      <c r="O808" s="10"/>
      <c r="P808" s="10"/>
      <c r="Q808" s="10"/>
      <c r="R808" s="10"/>
      <c r="S808" s="10"/>
      <c r="T808" s="10"/>
      <c r="V808" s="1" t="str">
        <f t="shared" si="45"/>
        <v/>
      </c>
      <c r="W808" s="1" t="str">
        <f t="shared" si="46"/>
        <v/>
      </c>
      <c r="X808" s="1" t="str">
        <f t="shared" si="47"/>
        <v/>
      </c>
    </row>
    <row r="809" spans="2:24" x14ac:dyDescent="0.25">
      <c r="B809" s="11">
        <f>[1]code!B806</f>
        <v>0</v>
      </c>
      <c r="C809" s="2">
        <f>[1]code!C806</f>
        <v>0</v>
      </c>
      <c r="D809" s="2">
        <f>[1]code!D806</f>
        <v>0</v>
      </c>
      <c r="E809" s="1">
        <f>[1]code!E806</f>
        <v>0</v>
      </c>
      <c r="F809" s="2">
        <f>[1]code!F806</f>
        <v>0</v>
      </c>
      <c r="G809" s="12">
        <f>[1]code!G806</f>
        <v>0</v>
      </c>
      <c r="I809" s="10" t="str">
        <f>IFERROR(VLOOKUP($B809,[1]INV!$B$7:$H$2575,7,0),"")</f>
        <v/>
      </c>
      <c r="J809" s="10" t="s">
        <v>7</v>
      </c>
      <c r="K809" s="10" t="s">
        <v>7</v>
      </c>
      <c r="L809" s="10"/>
      <c r="M809" s="10" t="str">
        <f>IFERROR(VLOOKUP($B809,[1]INV!$B$7:$H$2575,7,0),"")</f>
        <v/>
      </c>
      <c r="N809" s="10"/>
      <c r="O809" s="10"/>
      <c r="P809" s="10"/>
      <c r="Q809" s="10"/>
      <c r="R809" s="10"/>
      <c r="S809" s="10"/>
      <c r="T809" s="10"/>
      <c r="V809" s="1" t="str">
        <f t="shared" si="45"/>
        <v/>
      </c>
      <c r="W809" s="1" t="str">
        <f t="shared" si="46"/>
        <v/>
      </c>
      <c r="X809" s="1" t="str">
        <f t="shared" si="47"/>
        <v/>
      </c>
    </row>
    <row r="810" spans="2:24" x14ac:dyDescent="0.25">
      <c r="B810" s="11">
        <f>[1]code!B807</f>
        <v>0</v>
      </c>
      <c r="C810" s="2">
        <f>[1]code!C807</f>
        <v>0</v>
      </c>
      <c r="D810" s="2">
        <f>[1]code!D807</f>
        <v>0</v>
      </c>
      <c r="E810" s="1">
        <f>[1]code!E807</f>
        <v>0</v>
      </c>
      <c r="F810" s="2">
        <f>[1]code!F807</f>
        <v>0</v>
      </c>
      <c r="G810" s="12">
        <f>[1]code!G807</f>
        <v>0</v>
      </c>
      <c r="I810" s="10" t="str">
        <f>IFERROR(VLOOKUP($B810,[1]INV!$B$7:$H$2575,7,0),"")</f>
        <v/>
      </c>
      <c r="J810" s="10" t="s">
        <v>7</v>
      </c>
      <c r="K810" s="10" t="s">
        <v>7</v>
      </c>
      <c r="L810" s="10"/>
      <c r="M810" s="10" t="str">
        <f>IFERROR(VLOOKUP($B810,[1]INV!$B$7:$H$2575,7,0),"")</f>
        <v/>
      </c>
      <c r="N810" s="10"/>
      <c r="O810" s="10"/>
      <c r="P810" s="10"/>
      <c r="Q810" s="10"/>
      <c r="R810" s="10"/>
      <c r="S810" s="10"/>
      <c r="T810" s="10"/>
      <c r="V810" s="1" t="str">
        <f t="shared" si="45"/>
        <v/>
      </c>
      <c r="W810" s="1" t="str">
        <f t="shared" si="46"/>
        <v/>
      </c>
      <c r="X810" s="1" t="str">
        <f t="shared" si="47"/>
        <v/>
      </c>
    </row>
    <row r="811" spans="2:24" x14ac:dyDescent="0.25">
      <c r="B811" s="11">
        <f>[1]code!B808</f>
        <v>0</v>
      </c>
      <c r="C811" s="2">
        <f>[1]code!C808</f>
        <v>0</v>
      </c>
      <c r="D811" s="2">
        <f>[1]code!D808</f>
        <v>0</v>
      </c>
      <c r="E811" s="1">
        <f>[1]code!E808</f>
        <v>0</v>
      </c>
      <c r="F811" s="2">
        <f>[1]code!F808</f>
        <v>0</v>
      </c>
      <c r="G811" s="12">
        <f>[1]code!G808</f>
        <v>0</v>
      </c>
      <c r="I811" s="10" t="str">
        <f>IFERROR(VLOOKUP($B811,[1]INV!$B$7:$H$2575,7,0),"")</f>
        <v/>
      </c>
      <c r="J811" s="10" t="s">
        <v>7</v>
      </c>
      <c r="K811" s="10" t="s">
        <v>7</v>
      </c>
      <c r="L811" s="10"/>
      <c r="M811" s="10" t="str">
        <f>IFERROR(VLOOKUP($B811,[1]INV!$B$7:$H$2575,7,0),"")</f>
        <v/>
      </c>
      <c r="N811" s="10"/>
      <c r="O811" s="10"/>
      <c r="P811" s="10"/>
      <c r="Q811" s="10"/>
      <c r="R811" s="10"/>
      <c r="S811" s="10"/>
      <c r="T811" s="10"/>
      <c r="V811" s="1" t="str">
        <f t="shared" si="45"/>
        <v/>
      </c>
      <c r="W811" s="1" t="str">
        <f t="shared" si="46"/>
        <v/>
      </c>
      <c r="X811" s="1" t="str">
        <f t="shared" si="47"/>
        <v/>
      </c>
    </row>
    <row r="812" spans="2:24" x14ac:dyDescent="0.25">
      <c r="B812" s="11">
        <f>[1]code!B809</f>
        <v>0</v>
      </c>
      <c r="C812" s="2">
        <f>[1]code!C809</f>
        <v>0</v>
      </c>
      <c r="D812" s="2">
        <f>[1]code!D809</f>
        <v>0</v>
      </c>
      <c r="E812" s="1">
        <f>[1]code!E809</f>
        <v>0</v>
      </c>
      <c r="F812" s="2">
        <f>[1]code!F809</f>
        <v>0</v>
      </c>
      <c r="G812" s="12">
        <f>[1]code!G809</f>
        <v>0</v>
      </c>
      <c r="I812" s="10" t="str">
        <f>IFERROR(VLOOKUP($B812,[1]INV!$B$7:$H$2575,7,0),"")</f>
        <v/>
      </c>
      <c r="J812" s="10" t="s">
        <v>7</v>
      </c>
      <c r="K812" s="10" t="s">
        <v>7</v>
      </c>
      <c r="L812" s="10"/>
      <c r="M812" s="10" t="str">
        <f>IFERROR(VLOOKUP($B812,[1]INV!$B$7:$H$2575,7,0),"")</f>
        <v/>
      </c>
      <c r="N812" s="10"/>
      <c r="O812" s="10"/>
      <c r="P812" s="10"/>
      <c r="Q812" s="10"/>
      <c r="R812" s="10"/>
      <c r="S812" s="10"/>
      <c r="T812" s="10"/>
      <c r="V812" s="1" t="str">
        <f t="shared" si="45"/>
        <v/>
      </c>
      <c r="W812" s="1" t="str">
        <f t="shared" si="46"/>
        <v/>
      </c>
      <c r="X812" s="1" t="str">
        <f t="shared" si="47"/>
        <v/>
      </c>
    </row>
    <row r="813" spans="2:24" x14ac:dyDescent="0.25">
      <c r="B813" s="11">
        <f>[1]code!B810</f>
        <v>0</v>
      </c>
      <c r="C813" s="2">
        <f>[1]code!C810</f>
        <v>0</v>
      </c>
      <c r="D813" s="2">
        <f>[1]code!D810</f>
        <v>0</v>
      </c>
      <c r="E813" s="1">
        <f>[1]code!E810</f>
        <v>0</v>
      </c>
      <c r="F813" s="2">
        <f>[1]code!F810</f>
        <v>0</v>
      </c>
      <c r="G813" s="12">
        <f>[1]code!G810</f>
        <v>0</v>
      </c>
      <c r="I813" s="10" t="str">
        <f>IFERROR(VLOOKUP($B813,[1]INV!$B$7:$H$2575,7,0),"")</f>
        <v/>
      </c>
      <c r="J813" s="10" t="s">
        <v>7</v>
      </c>
      <c r="K813" s="10" t="s">
        <v>7</v>
      </c>
      <c r="L813" s="10"/>
      <c r="M813" s="10" t="str">
        <f>IFERROR(VLOOKUP($B813,[1]INV!$B$7:$H$2575,7,0),"")</f>
        <v/>
      </c>
      <c r="N813" s="10"/>
      <c r="O813" s="10"/>
      <c r="P813" s="10"/>
      <c r="Q813" s="10"/>
      <c r="R813" s="10"/>
      <c r="S813" s="10"/>
      <c r="T813" s="10"/>
      <c r="V813" s="1" t="str">
        <f t="shared" si="45"/>
        <v/>
      </c>
      <c r="W813" s="1" t="str">
        <f t="shared" si="46"/>
        <v/>
      </c>
      <c r="X813" s="1" t="str">
        <f t="shared" si="47"/>
        <v/>
      </c>
    </row>
    <row r="814" spans="2:24" x14ac:dyDescent="0.25">
      <c r="B814" s="11">
        <f>[1]code!B811</f>
        <v>0</v>
      </c>
      <c r="C814" s="2">
        <f>[1]code!C811</f>
        <v>0</v>
      </c>
      <c r="D814" s="2">
        <f>[1]code!D811</f>
        <v>0</v>
      </c>
      <c r="E814" s="1">
        <f>[1]code!E811</f>
        <v>0</v>
      </c>
      <c r="F814" s="2">
        <f>[1]code!F811</f>
        <v>0</v>
      </c>
      <c r="G814" s="12">
        <f>[1]code!G811</f>
        <v>0</v>
      </c>
      <c r="I814" s="10" t="str">
        <f>IFERROR(VLOOKUP($B814,[1]INV!$B$7:$H$2575,7,0),"")</f>
        <v/>
      </c>
      <c r="J814" s="10" t="s">
        <v>7</v>
      </c>
      <c r="K814" s="10" t="s">
        <v>7</v>
      </c>
      <c r="L814" s="10"/>
      <c r="M814" s="10" t="str">
        <f>IFERROR(VLOOKUP($B814,[1]INV!$B$7:$H$2575,7,0),"")</f>
        <v/>
      </c>
      <c r="N814" s="10"/>
      <c r="O814" s="10"/>
      <c r="P814" s="10"/>
      <c r="Q814" s="10"/>
      <c r="R814" s="10"/>
      <c r="S814" s="10"/>
      <c r="T814" s="10"/>
      <c r="V814" s="1" t="str">
        <f t="shared" si="45"/>
        <v/>
      </c>
      <c r="W814" s="1" t="str">
        <f t="shared" si="46"/>
        <v/>
      </c>
      <c r="X814" s="1" t="str">
        <f t="shared" si="47"/>
        <v/>
      </c>
    </row>
    <row r="815" spans="2:24" x14ac:dyDescent="0.25">
      <c r="B815" s="11">
        <f>[1]code!B812</f>
        <v>0</v>
      </c>
      <c r="C815" s="2">
        <f>[1]code!C812</f>
        <v>0</v>
      </c>
      <c r="D815" s="2">
        <f>[1]code!D812</f>
        <v>0</v>
      </c>
      <c r="E815" s="1">
        <f>[1]code!E812</f>
        <v>0</v>
      </c>
      <c r="F815" s="2">
        <f>[1]code!F812</f>
        <v>0</v>
      </c>
      <c r="G815" s="12">
        <f>[1]code!G812</f>
        <v>0</v>
      </c>
      <c r="I815" s="10" t="str">
        <f>IFERROR(VLOOKUP($B815,[1]INV!$B$7:$H$2575,7,0),"")</f>
        <v/>
      </c>
      <c r="J815" s="10" t="s">
        <v>7</v>
      </c>
      <c r="K815" s="10" t="s">
        <v>7</v>
      </c>
      <c r="L815" s="10"/>
      <c r="M815" s="10" t="str">
        <f>IFERROR(VLOOKUP($B815,[1]INV!$B$7:$H$2575,7,0),"")</f>
        <v/>
      </c>
      <c r="N815" s="10"/>
      <c r="O815" s="10"/>
      <c r="P815" s="10"/>
      <c r="Q815" s="10"/>
      <c r="R815" s="10"/>
      <c r="S815" s="10"/>
      <c r="T815" s="10"/>
      <c r="V815" s="1" t="str">
        <f t="shared" si="45"/>
        <v/>
      </c>
      <c r="W815" s="1" t="str">
        <f t="shared" si="46"/>
        <v/>
      </c>
      <c r="X815" s="1" t="str">
        <f t="shared" si="47"/>
        <v/>
      </c>
    </row>
    <row r="816" spans="2:24" x14ac:dyDescent="0.25">
      <c r="B816" s="11">
        <f>[1]code!B813</f>
        <v>0</v>
      </c>
      <c r="C816" s="2">
        <f>[1]code!C813</f>
        <v>0</v>
      </c>
      <c r="D816" s="2">
        <f>[1]code!D813</f>
        <v>0</v>
      </c>
      <c r="E816" s="1">
        <f>[1]code!E813</f>
        <v>0</v>
      </c>
      <c r="F816" s="2">
        <f>[1]code!F813</f>
        <v>0</v>
      </c>
      <c r="G816" s="12">
        <f>[1]code!G813</f>
        <v>0</v>
      </c>
      <c r="I816" s="10" t="str">
        <f>IFERROR(VLOOKUP($B816,[1]INV!$B$7:$H$2575,7,0),"")</f>
        <v/>
      </c>
      <c r="J816" s="10" t="s">
        <v>7</v>
      </c>
      <c r="K816" s="10" t="s">
        <v>7</v>
      </c>
      <c r="L816" s="10"/>
      <c r="M816" s="10" t="str">
        <f>IFERROR(VLOOKUP($B816,[1]INV!$B$7:$H$2575,7,0),"")</f>
        <v/>
      </c>
      <c r="N816" s="10"/>
      <c r="O816" s="10"/>
      <c r="P816" s="10"/>
      <c r="Q816" s="10"/>
      <c r="R816" s="10"/>
      <c r="S816" s="10"/>
      <c r="T816" s="10"/>
      <c r="V816" s="1" t="str">
        <f t="shared" si="45"/>
        <v/>
      </c>
      <c r="W816" s="1" t="str">
        <f t="shared" si="46"/>
        <v/>
      </c>
      <c r="X816" s="1" t="str">
        <f t="shared" si="47"/>
        <v/>
      </c>
    </row>
    <row r="817" spans="2:24" x14ac:dyDescent="0.25">
      <c r="B817" s="11">
        <f>[1]code!B814</f>
        <v>0</v>
      </c>
      <c r="C817" s="2">
        <f>[1]code!C814</f>
        <v>0</v>
      </c>
      <c r="D817" s="2">
        <f>[1]code!D814</f>
        <v>0</v>
      </c>
      <c r="E817" s="1">
        <f>[1]code!E814</f>
        <v>0</v>
      </c>
      <c r="F817" s="2">
        <f>[1]code!F814</f>
        <v>0</v>
      </c>
      <c r="G817" s="12">
        <f>[1]code!G814</f>
        <v>0</v>
      </c>
      <c r="I817" s="10" t="str">
        <f>IFERROR(VLOOKUP($B817,[1]INV!$B$7:$H$2575,7,0),"")</f>
        <v/>
      </c>
      <c r="J817" s="10" t="s">
        <v>7</v>
      </c>
      <c r="K817" s="10" t="s">
        <v>7</v>
      </c>
      <c r="L817" s="10"/>
      <c r="M817" s="10" t="str">
        <f>IFERROR(VLOOKUP($B817,[1]INV!$B$7:$H$2575,7,0),"")</f>
        <v/>
      </c>
      <c r="N817" s="10"/>
      <c r="O817" s="10"/>
      <c r="P817" s="10"/>
      <c r="Q817" s="10"/>
      <c r="R817" s="10"/>
      <c r="S817" s="10"/>
      <c r="T817" s="10"/>
      <c r="V817" s="1" t="str">
        <f t="shared" si="45"/>
        <v/>
      </c>
      <c r="W817" s="1" t="str">
        <f t="shared" si="46"/>
        <v/>
      </c>
      <c r="X817" s="1" t="str">
        <f t="shared" si="47"/>
        <v/>
      </c>
    </row>
    <row r="818" spans="2:24" x14ac:dyDescent="0.25">
      <c r="B818" s="11">
        <f>[1]code!B815</f>
        <v>0</v>
      </c>
      <c r="C818" s="2">
        <f>[1]code!C815</f>
        <v>0</v>
      </c>
      <c r="D818" s="2">
        <f>[1]code!D815</f>
        <v>0</v>
      </c>
      <c r="E818" s="1">
        <f>[1]code!E815</f>
        <v>0</v>
      </c>
      <c r="F818" s="2">
        <f>[1]code!F815</f>
        <v>0</v>
      </c>
      <c r="G818" s="12">
        <f>[1]code!G815</f>
        <v>0</v>
      </c>
      <c r="I818" s="10" t="str">
        <f>IFERROR(VLOOKUP($B818,[1]INV!$B$7:$H$2575,7,0),"")</f>
        <v/>
      </c>
      <c r="J818" s="10" t="s">
        <v>7</v>
      </c>
      <c r="K818" s="10" t="s">
        <v>7</v>
      </c>
      <c r="L818" s="10"/>
      <c r="M818" s="10" t="str">
        <f>IFERROR(VLOOKUP($B818,[1]INV!$B$7:$H$2575,7,0),"")</f>
        <v/>
      </c>
      <c r="N818" s="10"/>
      <c r="O818" s="10"/>
      <c r="P818" s="10"/>
      <c r="Q818" s="10"/>
      <c r="R818" s="10"/>
      <c r="S818" s="10"/>
      <c r="T818" s="10"/>
      <c r="V818" s="1" t="str">
        <f t="shared" si="45"/>
        <v/>
      </c>
      <c r="W818" s="1" t="str">
        <f t="shared" si="46"/>
        <v/>
      </c>
      <c r="X818" s="1" t="str">
        <f t="shared" si="47"/>
        <v/>
      </c>
    </row>
    <row r="819" spans="2:24" ht="15" thickBot="1" x14ac:dyDescent="0.3">
      <c r="B819" s="13">
        <f>[1]code!B816</f>
        <v>0</v>
      </c>
      <c r="C819" s="14">
        <f>[1]code!C816</f>
        <v>0</v>
      </c>
      <c r="D819" s="14">
        <f>[1]code!D816</f>
        <v>0</v>
      </c>
      <c r="E819" s="15">
        <f>[1]code!E816</f>
        <v>0</v>
      </c>
      <c r="F819" s="14">
        <f>[1]code!F816</f>
        <v>0</v>
      </c>
      <c r="G819" s="16">
        <f>[1]code!G816</f>
        <v>0</v>
      </c>
      <c r="I819" s="10" t="str">
        <f>IFERROR(VLOOKUP($B819,[1]INV!$B$7:$H$2575,7,0),"")</f>
        <v/>
      </c>
      <c r="J819" s="10" t="s">
        <v>7</v>
      </c>
      <c r="K819" s="10" t="s">
        <v>7</v>
      </c>
      <c r="L819" s="10"/>
      <c r="M819" s="10" t="str">
        <f>IFERROR(VLOOKUP($B819,[1]INV!$B$7:$H$2575,7,0),"")</f>
        <v/>
      </c>
      <c r="N819" s="10"/>
      <c r="O819" s="10"/>
      <c r="P819" s="10"/>
      <c r="Q819" s="10"/>
      <c r="R819" s="10"/>
      <c r="S819" s="10"/>
      <c r="T819" s="10"/>
      <c r="V819" s="1" t="str">
        <f t="shared" si="45"/>
        <v/>
      </c>
      <c r="W819" s="1" t="str">
        <f t="shared" si="46"/>
        <v/>
      </c>
      <c r="X819" s="1" t="str">
        <f t="shared" si="47"/>
        <v/>
      </c>
    </row>
  </sheetData>
  <sheetProtection autoFilter="0"/>
  <autoFilter ref="B6:T819" xr:uid="{00000000-0009-0000-0000-000005000000}"/>
  <mergeCells count="1">
    <mergeCell ref="C2:F3"/>
  </mergeCells>
  <conditionalFormatting sqref="B7:G819">
    <cfRule type="cellIs" dxfId="11" priority="12" operator="equal">
      <formula>0</formula>
    </cfRule>
  </conditionalFormatting>
  <conditionalFormatting sqref="L7:L819 M7:T7 M8:M819">
    <cfRule type="expression" dxfId="10" priority="11">
      <formula>L7&gt;$G$7</formula>
    </cfRule>
  </conditionalFormatting>
  <conditionalFormatting sqref="N8:T819">
    <cfRule type="expression" dxfId="9" priority="10">
      <formula>N8&gt;$G$7</formula>
    </cfRule>
  </conditionalFormatting>
  <conditionalFormatting sqref="I7">
    <cfRule type="cellIs" dxfId="7" priority="8" operator="greaterThan">
      <formula>$G$7</formula>
    </cfRule>
    <cfRule type="cellIs" dxfId="8" priority="9" operator="greaterThan">
      <formula>$G$7</formula>
    </cfRule>
  </conditionalFormatting>
  <conditionalFormatting sqref="J7">
    <cfRule type="cellIs" dxfId="6" priority="7" operator="greaterThan">
      <formula>$G$7</formula>
    </cfRule>
  </conditionalFormatting>
  <conditionalFormatting sqref="L7:L596">
    <cfRule type="expression" dxfId="5" priority="6">
      <formula>$G7&gt;$L7</formula>
    </cfRule>
  </conditionalFormatting>
  <conditionalFormatting sqref="L7:L596">
    <cfRule type="expression" dxfId="3" priority="4">
      <formula>$G7=$L7</formula>
    </cfRule>
    <cfRule type="expression" dxfId="4" priority="5">
      <formula>$L7=$G7</formula>
    </cfRule>
  </conditionalFormatting>
  <conditionalFormatting sqref="M7:M819">
    <cfRule type="expression" dxfId="2" priority="3">
      <formula>$G7&gt;$L7</formula>
    </cfRule>
  </conditionalFormatting>
  <conditionalFormatting sqref="M7:M819">
    <cfRule type="expression" dxfId="1" priority="1">
      <formula>$G7=$L7</formula>
    </cfRule>
    <cfRule type="expression" dxfId="0" priority="2">
      <formula>$L7=$G7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مقارنة الاسعار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 elbaz</dc:creator>
  <cp:lastModifiedBy>hany elbaz</cp:lastModifiedBy>
  <dcterms:created xsi:type="dcterms:W3CDTF">2026-07-17T15:39:07Z</dcterms:created>
  <dcterms:modified xsi:type="dcterms:W3CDTF">2026-07-17T15:39:23Z</dcterms:modified>
</cp:coreProperties>
</file>